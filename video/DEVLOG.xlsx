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tables/table2.xml" ContentType="application/vnd.openxmlformats-officedocument.spreadsheetml.table+xml"/>
  <Override PartName="/xl/tables/table1.xml" ContentType="application/vnd.openxmlformats-officedocument.spreadsheetml.table+xml"/>
  <Override PartName="/xl/tables/table3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요약" sheetId="1" state="visible" r:id="rId3"/>
    <sheet name="로드맵" sheetId="2" state="visible" r:id="rId4"/>
    <sheet name="개발 기록" sheetId="3" state="visible" r:id="rId5"/>
    <sheet name="테스트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<sst xmlns="http://schemas.openxmlformats.org/spreadsheetml/2006/main" count="198" uniqueCount="121">
  <si>
    <r>
      <rPr>
        <b val="true"/>
        <sz val="16"/>
        <rFont val="Arial"/>
        <family val="0"/>
        <charset val="1"/>
      </rPr>
      <t xml:space="preserve">ReelCut </t>
    </r>
    <r>
      <rPr>
        <b val="true"/>
        <sz val="16"/>
        <rFont val="Noto Sans CJK SC"/>
        <family val="2"/>
      </rPr>
      <t xml:space="preserve">개발 일지</t>
    </r>
  </si>
  <si>
    <t xml:space="preserve">로드맵 항목 수</t>
  </si>
  <si>
    <t xml:space="preserve">완료</t>
  </si>
  <si>
    <t xml:space="preserve">진행 중</t>
  </si>
  <si>
    <t xml:space="preserve">대기</t>
  </si>
  <si>
    <t xml:space="preserve">진행률</t>
  </si>
  <si>
    <t xml:space="preserve">기록 수</t>
  </si>
  <si>
    <t xml:space="preserve">사용자 제보 처리</t>
  </si>
  <si>
    <t xml:space="preserve">최근 테스트 수</t>
  </si>
  <si>
    <t xml:space="preserve">최근 테스트 통과</t>
  </si>
  <si>
    <t xml:space="preserve">우선순위 기준</t>
  </si>
  <si>
    <r>
      <rPr>
        <sz val="10"/>
        <rFont val="Noto Sans CJK SC"/>
        <family val="2"/>
      </rPr>
      <t xml:space="preserve">기준 </t>
    </r>
    <r>
      <rPr>
        <sz val="10"/>
        <rFont val="Arial"/>
        <family val="0"/>
        <charset val="1"/>
      </rPr>
      <t xml:space="preserve">1</t>
    </r>
  </si>
  <si>
    <r>
      <rPr>
        <sz val="10"/>
        <rFont val="Noto Sans CJK SC"/>
        <family val="2"/>
      </rPr>
      <t xml:space="preserve">작업이 날아가거나 결과물이 잘못 나오는 문제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데이터 손실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오동작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</si>
  <si>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기준 </t>
    </r>
    <r>
      <rPr>
        <sz val="10"/>
        <rFont val="Arial"/>
        <family val="0"/>
        <charset val="1"/>
      </rPr>
      <t xml:space="preserve">2</t>
    </r>
  </si>
  <si>
    <t xml:space="preserve">사용자가 직접 겪고 알려준 불편</t>
  </si>
  <si>
    <r>
      <rPr>
        <sz val="10"/>
        <rFont val="Noto Sans CJK SC"/>
        <family val="2"/>
      </rPr>
      <t xml:space="preserve">기준 </t>
    </r>
    <r>
      <rPr>
        <sz val="10"/>
        <rFont val="Arial"/>
        <family val="0"/>
        <charset val="1"/>
      </rPr>
      <t xml:space="preserve">3</t>
    </r>
  </si>
  <si>
    <r>
      <rPr>
        <sz val="10"/>
        <rFont val="Noto Sans CJK SC"/>
        <family val="2"/>
      </rPr>
      <t xml:space="preserve">매번 쓰는 흐름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편집 → 미리보기 → 내보내기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의 체감 속도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편의</t>
    </r>
  </si>
  <si>
    <r>
      <rPr>
        <sz val="10"/>
        <rFont val="Noto Sans CJK SC"/>
        <family val="2"/>
      </rPr>
      <t xml:space="preserve">기준 </t>
    </r>
    <r>
      <rPr>
        <sz val="10"/>
        <rFont val="Arial"/>
        <family val="0"/>
        <charset val="1"/>
      </rPr>
      <t xml:space="preserve">4</t>
    </r>
  </si>
  <si>
    <t xml:space="preserve">결과물 완성도를 높이는 새 기능</t>
  </si>
  <si>
    <t xml:space="preserve">순위</t>
  </si>
  <si>
    <t xml:space="preserve">항목</t>
  </si>
  <si>
    <t xml:space="preserve">기준</t>
  </si>
  <si>
    <t xml:space="preserve">이유</t>
  </si>
  <si>
    <t xml:space="preserve">상태</t>
  </si>
  <si>
    <t xml:space="preserve">완료일</t>
  </si>
  <si>
    <r>
      <rPr>
        <sz val="10"/>
        <color rgb="FF000000"/>
        <rFont val="Noto Sans CJK SC"/>
        <family val="2"/>
      </rPr>
      <t xml:space="preserve">렌더링 병렬화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조각을 여러 개 동시에 인코딩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</si>
  <si>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기준 </t>
    </r>
    <r>
      <rPr>
        <sz val="10"/>
        <color rgb="FF000000"/>
        <rFont val="Arial"/>
        <family val="0"/>
        <charset val="1"/>
      </rPr>
      <t xml:space="preserve">3</t>
    </r>
  </si>
  <si>
    <r>
      <rPr>
        <sz val="10"/>
        <color rgb="FF000000"/>
        <rFont val="Noto Sans CJK SC"/>
        <family val="2"/>
      </rPr>
      <t xml:space="preserve">비트 맞춤은 조각이 수백 개라 느림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기준 정하기 전에 시작</t>
    </r>
    <r>
      <rPr>
        <sz val="10"/>
        <color rgb="FF000000"/>
        <rFont val="Arial"/>
        <family val="0"/>
        <charset val="1"/>
      </rPr>
      <t xml:space="preserve">)</t>
    </r>
  </si>
  <si>
    <t xml:space="preserve">2026-10-28</t>
  </si>
  <si>
    <r>
      <rPr>
        <sz val="10"/>
        <color rgb="FF000000"/>
        <rFont val="Noto Sans CJK SC"/>
        <family val="2"/>
      </rPr>
      <t xml:space="preserve">자동 저장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다음 실행 때 복구</t>
    </r>
  </si>
  <si>
    <r>
      <rPr>
        <sz val="10"/>
        <color rgb="FF000000"/>
        <rFont val="Noto Sans CJK SC"/>
        <family val="2"/>
      </rPr>
      <t xml:space="preserve">기준 </t>
    </r>
    <r>
      <rPr>
        <sz val="10"/>
        <color rgb="FF000000"/>
        <rFont val="Arial"/>
        <family val="0"/>
        <charset val="1"/>
      </rPr>
      <t xml:space="preserve">1</t>
    </r>
  </si>
  <si>
    <t xml:space="preserve">실수로 닫거나 오류로 꺼지면 작업이 날아감</t>
  </si>
  <si>
    <r>
      <rPr>
        <sz val="10"/>
        <color rgb="FF000000"/>
        <rFont val="Noto Sans CJK SC"/>
        <family val="2"/>
      </rPr>
      <t xml:space="preserve">취소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오류 처리 다듬기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취소 시 파일 보호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옮겨진 파일 다시 연결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쉬운 오류 문구</t>
    </r>
    <r>
      <rPr>
        <sz val="10"/>
        <color rgb="FF000000"/>
        <rFont val="Arial"/>
        <family val="0"/>
        <charset val="1"/>
      </rPr>
      <t xml:space="preserve">)</t>
    </r>
  </si>
  <si>
    <t xml:space="preserve">최종 단계에서 취소하면 깨진 파일이 남고 기존 영상이 덮어써짐</t>
  </si>
  <si>
    <t xml:space="preserve">진행률에 남은 시간 표시</t>
  </si>
  <si>
    <t xml:space="preserve">긴 렌더링에서 언제 끝날지 알 수 없음</t>
  </si>
  <si>
    <t xml:space="preserve">클립 목록 썸네일</t>
  </si>
  <si>
    <t xml:space="preserve">파일 이름만으로는 어떤 영상인지 구분이 어려움</t>
  </si>
  <si>
    <r>
      <rPr>
        <sz val="10"/>
        <color rgb="FF000000"/>
        <rFont val="Noto Sans CJK SC"/>
        <family val="2"/>
      </rPr>
      <t xml:space="preserve">음량 자동 맞춤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유튜브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릴스 권장 음량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</si>
  <si>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기준 </t>
    </r>
    <r>
      <rPr>
        <sz val="10"/>
        <color rgb="FF000000"/>
        <rFont val="Arial"/>
        <family val="0"/>
        <charset val="1"/>
      </rPr>
      <t xml:space="preserve">4</t>
    </r>
  </si>
  <si>
    <r>
      <rPr>
        <sz val="10"/>
        <color rgb="FF000000"/>
        <rFont val="Noto Sans CJK SC"/>
        <family val="2"/>
      </rPr>
      <t xml:space="preserve">노래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원본 소리 크기가 들쭉날쭉</t>
    </r>
  </si>
  <si>
    <r>
      <rPr>
        <sz val="10"/>
        <color rgb="FF000000"/>
        <rFont val="Noto Sans CJK SC"/>
        <family val="2"/>
      </rPr>
      <t xml:space="preserve">영상 시작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끝 페이드 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아웃</t>
    </r>
  </si>
  <si>
    <r>
      <rPr>
        <sz val="10"/>
        <color rgb="FF000000"/>
        <rFont val="Noto Sans CJK SC"/>
        <family val="2"/>
      </rPr>
      <t xml:space="preserve">갑자기 시작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끝나는 느낌 완화</t>
    </r>
  </si>
  <si>
    <r>
      <rPr>
        <sz val="10"/>
        <color rgb="FF000000"/>
        <rFont val="Noto Sans CJK SC"/>
        <family val="2"/>
      </rPr>
      <t xml:space="preserve">비트 컷 전환 효과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짧은 플래시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줌 등</t>
    </r>
    <r>
      <rPr>
        <sz val="10"/>
        <color rgb="FF000000"/>
        <rFont val="Arial"/>
        <family val="0"/>
        <charset val="1"/>
      </rPr>
      <t xml:space="preserve">)</t>
    </r>
  </si>
  <si>
    <t xml:space="preserve">비트 맞춤 영상의 완성도</t>
  </si>
  <si>
    <t xml:space="preserve">제목 텍스트 넣기</t>
  </si>
  <si>
    <t xml:space="preserve">자막과 별개로 큰 제목이 필요한 경우</t>
  </si>
  <si>
    <t xml:space="preserve">날짜</t>
  </si>
  <si>
    <t xml:space="preserve">구분</t>
  </si>
  <si>
    <t xml:space="preserve">내용</t>
  </si>
  <si>
    <t xml:space="preserve">결과</t>
  </si>
  <si>
    <t xml:space="preserve">커밋</t>
  </si>
  <si>
    <t xml:space="preserve">2026-10-13</t>
  </si>
  <si>
    <t xml:space="preserve">기능</t>
  </si>
  <si>
    <t xml:space="preserve">첫 버전</t>
  </si>
  <si>
    <r>
      <rPr>
        <sz val="10"/>
        <color rgb="FF000000"/>
        <rFont val="Noto Sans CJK SC"/>
        <family val="2"/>
      </rPr>
      <t xml:space="preserve">이어붙이기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자동 자막</t>
    </r>
    <r>
      <rPr>
        <sz val="10"/>
        <color rgb="FF000000"/>
        <rFont val="Arial"/>
        <family val="0"/>
        <charset val="1"/>
      </rPr>
      <t xml:space="preserve">(Whisper), </t>
    </r>
    <r>
      <rPr>
        <sz val="10"/>
        <color rgb="FF000000"/>
        <rFont val="Noto Sans CJK SC"/>
        <family val="2"/>
      </rPr>
      <t xml:space="preserve">비트 맞춤 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화면 속 화면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내보내기</t>
    </r>
  </si>
  <si>
    <t xml:space="preserve">4dd839b</t>
  </si>
  <si>
    <r>
      <rPr>
        <sz val="10"/>
        <color rgb="FF000000"/>
        <rFont val="Noto Sans CJK SC"/>
        <family val="2"/>
      </rPr>
      <t xml:space="preserve">유튜브 링크 → </t>
    </r>
    <r>
      <rPr>
        <sz val="10"/>
        <color rgb="FF000000"/>
        <rFont val="Arial"/>
        <family val="0"/>
        <charset val="1"/>
      </rPr>
      <t xml:space="preserve">mp3, </t>
    </r>
    <r>
      <rPr>
        <sz val="10"/>
        <color rgb="FF000000"/>
        <rFont val="Noto Sans CJK SC"/>
        <family val="2"/>
      </rPr>
      <t xml:space="preserve">음악 시작 위치 파형 게이지</t>
    </r>
  </si>
  <si>
    <r>
      <rPr>
        <sz val="10"/>
        <color rgb="FF000000"/>
        <rFont val="Arial"/>
        <family val="0"/>
        <charset val="1"/>
      </rPr>
      <t xml:space="preserve">yt-dlp + Deno </t>
    </r>
    <r>
      <rPr>
        <sz val="10"/>
        <color rgb="FF000000"/>
        <rFont val="Noto Sans CJK SC"/>
        <family val="2"/>
      </rPr>
      <t xml:space="preserve">포함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클릭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드래그로 시작 위치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미리듣기</t>
    </r>
  </si>
  <si>
    <t xml:space="preserve">77306ce</t>
  </si>
  <si>
    <t xml:space="preserve">수정</t>
  </si>
  <si>
    <r>
      <rPr>
        <sz val="10"/>
        <color rgb="FF000000"/>
        <rFont val="Arial"/>
        <family val="0"/>
        <charset val="1"/>
      </rPr>
      <t xml:space="preserve">Windows </t>
    </r>
    <r>
      <rPr>
        <sz val="10"/>
        <color rgb="FF000000"/>
        <rFont val="Noto Sans CJK SC"/>
        <family val="2"/>
      </rPr>
      <t xml:space="preserve">빌드 실패</t>
    </r>
  </si>
  <si>
    <r>
      <rPr>
        <sz val="10"/>
        <color rgb="FF000000"/>
        <rFont val="Arial"/>
        <family val="0"/>
        <charset val="1"/>
      </rPr>
      <t xml:space="preserve">FFmpeg </t>
    </r>
    <r>
      <rPr>
        <sz val="10"/>
        <color rgb="FF000000"/>
        <rFont val="Noto Sans CJK SC"/>
        <family val="2"/>
      </rPr>
      <t xml:space="preserve">다운로드 주소가 없어진 파일을 가리킴 → </t>
    </r>
    <r>
      <rPr>
        <sz val="10"/>
        <color rgb="FF000000"/>
        <rFont val="Arial"/>
        <family val="0"/>
        <charset val="1"/>
      </rPr>
      <t xml:space="preserve">master-latest</t>
    </r>
    <r>
      <rPr>
        <sz val="10"/>
        <color rgb="FF000000"/>
        <rFont val="Noto Sans CJK SC"/>
        <family val="2"/>
      </rPr>
      <t xml:space="preserve">로 변경</t>
    </r>
  </si>
  <si>
    <t xml:space="preserve">빌드 성공</t>
  </si>
  <si>
    <t xml:space="preserve">자막 글꼴 지정</t>
  </si>
  <si>
    <r>
      <rPr>
        <sz val="10"/>
        <color rgb="FF000000"/>
        <rFont val="Noto Sans CJK SC"/>
        <family val="2"/>
      </rPr>
      <t xml:space="preserve">글꼴 파일 불러오기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굵게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상자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위치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미리보기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위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가운데 정렬 번호 오류도 수정</t>
    </r>
  </si>
  <si>
    <t xml:space="preserve">40a61f7</t>
  </si>
  <si>
    <t xml:space="preserve">화면 비율 선택</t>
  </si>
  <si>
    <r>
      <rPr>
        <sz val="10"/>
        <color rgb="FF000000"/>
        <rFont val="Arial"/>
        <family val="0"/>
        <charset val="1"/>
      </rPr>
      <t xml:space="preserve">16:9 / 9:16 / 1:1 / 4:5, </t>
    </r>
    <r>
      <rPr>
        <sz val="10"/>
        <color rgb="FF000000"/>
        <rFont val="Noto Sans CJK SC"/>
        <family val="2"/>
      </rPr>
      <t xml:space="preserve">흐린 배경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잘라 채우기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검은 여백</t>
    </r>
  </si>
  <si>
    <t xml:space="preserve">beef089</t>
  </si>
  <si>
    <t xml:space="preserve">사용자 제보</t>
  </si>
  <si>
    <t xml:space="preserve">비트 맞춤인데 장면 전환이 안 됨</t>
  </si>
  <si>
    <r>
      <rPr>
        <sz val="10"/>
        <color rgb="FF000000"/>
        <rFont val="Noto Sans CJK SC"/>
        <family val="2"/>
      </rPr>
      <t xml:space="preserve">원인</t>
    </r>
    <r>
      <rPr>
        <sz val="10"/>
        <color rgb="FF000000"/>
        <rFont val="Arial"/>
        <family val="0"/>
        <charset val="1"/>
      </rPr>
      <t xml:space="preserve">: '</t>
    </r>
    <r>
      <rPr>
        <sz val="10"/>
        <color rgb="FF000000"/>
        <rFont val="Noto Sans CJK SC"/>
        <family val="2"/>
      </rPr>
      <t xml:space="preserve">차례대로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가 클립을 끊김 없이 이어 자름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음악보다 긴 부분이 한 덩어리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클립 안에서 건너뛰도록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음악 길이로 제한</t>
    </r>
  </si>
  <si>
    <t xml:space="preserve">f2c1d9b</t>
  </si>
  <si>
    <t xml:space="preserve">같은 파일 안에서만 건너뜀</t>
  </si>
  <si>
    <r>
      <rPr>
        <sz val="10"/>
        <color rgb="FF000000"/>
        <rFont val="Noto Sans CJK SC"/>
        <family val="2"/>
      </rPr>
      <t xml:space="preserve">컷마다 다음 파일로 넘어가는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파일 번갈아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를 기본으로</t>
    </r>
    <r>
      <rPr>
        <sz val="10"/>
        <color rgb="FF000000"/>
        <rFont val="Arial"/>
        <family val="0"/>
        <charset val="1"/>
      </rPr>
      <t xml:space="preserve">, '</t>
    </r>
    <r>
      <rPr>
        <sz val="10"/>
        <color rgb="FF000000"/>
        <rFont val="Noto Sans CJK SC"/>
        <family val="2"/>
      </rPr>
      <t xml:space="preserve">몰아서</t>
    </r>
    <r>
      <rPr>
        <sz val="10"/>
        <color rgb="FF000000"/>
        <rFont val="Arial"/>
        <family val="0"/>
        <charset val="1"/>
      </rPr>
      <t xml:space="preserve">'·'</t>
    </r>
    <r>
      <rPr>
        <sz val="10"/>
        <color rgb="FF000000"/>
        <rFont val="Noto Sans CJK SC"/>
        <family val="2"/>
      </rPr>
      <t xml:space="preserve">무작위</t>
    </r>
    <r>
      <rPr>
        <sz val="10"/>
        <color rgb="FF000000"/>
        <rFont val="Arial"/>
        <family val="0"/>
        <charset val="1"/>
      </rPr>
      <t xml:space="preserve">'·'</t>
    </r>
    <r>
      <rPr>
        <sz val="10"/>
        <color rgb="FF000000"/>
        <rFont val="Noto Sans CJK SC"/>
        <family val="2"/>
      </rPr>
      <t xml:space="preserve">이어서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예전 방식</t>
    </r>
    <r>
      <rPr>
        <sz val="10"/>
        <color rgb="FF000000"/>
        <rFont val="Arial"/>
        <family val="0"/>
        <charset val="1"/>
      </rPr>
      <t xml:space="preserve">)' </t>
    </r>
    <r>
      <rPr>
        <sz val="10"/>
        <color rgb="FF000000"/>
        <rFont val="Noto Sans CJK SC"/>
        <family val="2"/>
      </rPr>
      <t xml:space="preserve">선택지</t>
    </r>
  </si>
  <si>
    <t xml:space="preserve">8c0d897</t>
  </si>
  <si>
    <r>
      <rPr>
        <sz val="10"/>
        <color rgb="FF000000"/>
        <rFont val="Noto Sans CJK SC"/>
        <family val="2"/>
      </rPr>
      <t xml:space="preserve">헤드폰인데 스피커로 나옴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노래가 늘어짐</t>
    </r>
  </si>
  <si>
    <r>
      <rPr>
        <sz val="10"/>
        <color rgb="FF000000"/>
        <rFont val="Noto Sans CJK SC"/>
        <family val="2"/>
      </rPr>
      <t xml:space="preserve">출력 장치 선택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기본 장치 자동 따라가기 추가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렌더 결과물은 원곡과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초 오차로 확인 → 재생기 출력 장치 문제로 추정</t>
    </r>
  </si>
  <si>
    <t xml:space="preserve">확인 대기</t>
  </si>
  <si>
    <t xml:space="preserve">023a344</t>
  </si>
  <si>
    <t xml:space="preserve">테스트</t>
  </si>
  <si>
    <t xml:space="preserve">엣지 케이스 렌더링</t>
  </si>
  <si>
    <r>
      <rPr>
        <sz val="10"/>
        <color rgb="FF000000"/>
        <rFont val="Noto Sans CJK SC"/>
        <family val="2"/>
      </rPr>
      <t xml:space="preserve">한글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따옴표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대괄호 경로</t>
    </r>
    <r>
      <rPr>
        <sz val="10"/>
        <color rgb="FF000000"/>
        <rFont val="Arial"/>
        <family val="0"/>
        <charset val="1"/>
      </rPr>
      <t xml:space="preserve">, 10</t>
    </r>
    <r>
      <rPr>
        <sz val="10"/>
        <color rgb="FF000000"/>
        <rFont val="Noto Sans CJK SC"/>
        <family val="2"/>
      </rPr>
      <t xml:space="preserve">비트 </t>
    </r>
    <r>
      <rPr>
        <sz val="10"/>
        <color rgb="FF000000"/>
        <rFont val="Arial"/>
        <family val="0"/>
        <charset val="1"/>
      </rPr>
      <t xml:space="preserve">HEVC 60fps, VP9, </t>
    </r>
    <r>
      <rPr>
        <sz val="10"/>
        <color rgb="FF000000"/>
        <rFont val="Noto Sans CJK SC"/>
        <family val="2"/>
      </rPr>
      <t xml:space="preserve">홀수 해상도</t>
    </r>
    <r>
      <rPr>
        <sz val="10"/>
        <color rgb="FF000000"/>
        <rFont val="Arial"/>
        <family val="0"/>
        <charset val="1"/>
      </rPr>
      <t xml:space="preserve">·yuv444p, </t>
    </r>
    <r>
      <rPr>
        <sz val="10"/>
        <color rgb="FF000000"/>
        <rFont val="Noto Sans CJK SC"/>
        <family val="2"/>
      </rPr>
      <t xml:space="preserve">모노 </t>
    </r>
    <r>
      <rPr>
        <sz val="10"/>
        <color rgb="FF000000"/>
        <rFont val="Arial"/>
        <family val="0"/>
        <charset val="1"/>
      </rPr>
      <t xml:space="preserve">22kHz, 3000×4000 </t>
    </r>
    <r>
      <rPr>
        <sz val="10"/>
        <color rgb="FF000000"/>
        <rFont val="Noto Sans CJK SC"/>
        <family val="2"/>
      </rPr>
      <t xml:space="preserve">사진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회전 메타데이터 세로 영상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자막 특수문자 —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가지 조합</t>
    </r>
  </si>
  <si>
    <t xml:space="preserve">모두 통과</t>
  </si>
  <si>
    <r>
      <rPr>
        <sz val="10"/>
        <color rgb="FF000000"/>
        <rFont val="Arial"/>
        <family val="0"/>
        <charset val="1"/>
      </rPr>
      <t xml:space="preserve">[1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렌더링 병렬화</t>
    </r>
  </si>
  <si>
    <r>
      <rPr>
        <sz val="10"/>
        <color rgb="FF000000"/>
        <rFont val="Noto Sans CJK SC"/>
        <family val="2"/>
      </rPr>
      <t xml:space="preserve">조각 인코딩을 동시에 실행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코어 절반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최대 </t>
    </r>
    <r>
      <rPr>
        <sz val="10"/>
        <color rgb="FF000000"/>
        <rFont val="Arial"/>
        <family val="0"/>
        <charset val="1"/>
      </rPr>
      <t xml:space="preserve">4). 4</t>
    </r>
    <r>
      <rPr>
        <sz val="10"/>
        <color rgb="FF000000"/>
        <rFont val="Noto Sans CJK SC"/>
        <family val="2"/>
      </rPr>
      <t xml:space="preserve">코어</t>
    </r>
    <r>
      <rPr>
        <sz val="10"/>
        <color rgb="FF000000"/>
        <rFont val="Arial"/>
        <family val="0"/>
        <charset val="1"/>
      </rPr>
      <t xml:space="preserve">·30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·1080×1920·</t>
    </r>
    <r>
      <rPr>
        <sz val="10"/>
        <color rgb="FF000000"/>
        <rFont val="Noto Sans CJK SC"/>
        <family val="2"/>
      </rPr>
      <t xml:space="preserve">컷 </t>
    </r>
    <r>
      <rPr>
        <sz val="10"/>
        <color rgb="FF000000"/>
        <rFont val="Arial"/>
        <family val="0"/>
        <charset val="1"/>
      </rPr>
      <t xml:space="preserve">36</t>
    </r>
    <r>
      <rPr>
        <sz val="10"/>
        <color rgb="FF000000"/>
        <rFont val="Noto Sans CJK SC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: 45.7</t>
    </r>
    <r>
      <rPr>
        <sz val="10"/>
        <color rgb="FF000000"/>
        <rFont val="Noto Sans CJK SC"/>
        <family val="2"/>
      </rPr>
      <t xml:space="preserve">초 → </t>
    </r>
    <r>
      <rPr>
        <sz val="10"/>
        <color rgb="FF000000"/>
        <rFont val="Arial"/>
        <family val="0"/>
        <charset val="1"/>
      </rPr>
      <t xml:space="preserve">22.0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(2</t>
    </r>
    <r>
      <rPr>
        <sz val="10"/>
        <color rgb="FF000000"/>
        <rFont val="Noto Sans CJK SC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) → 20.5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(4</t>
    </r>
    <r>
      <rPr>
        <sz val="10"/>
        <color rgb="FF000000"/>
        <rFont val="Noto Sans CJK SC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실패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취소 시 모두 중단</t>
    </r>
  </si>
  <si>
    <r>
      <rPr>
        <sz val="10"/>
        <color rgb="FF000000"/>
        <rFont val="Noto Sans CJK SC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배 빨라짐</t>
    </r>
  </si>
  <si>
    <t xml:space="preserve">1e76e71</t>
  </si>
  <si>
    <r>
      <rPr>
        <sz val="10"/>
        <color rgb="FF000000"/>
        <rFont val="Arial"/>
        <family val="0"/>
        <charset val="1"/>
      </rPr>
      <t xml:space="preserve">[2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자동 저장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복구</t>
    </r>
  </si>
  <si>
    <r>
      <rPr>
        <sz val="10"/>
        <color rgb="FF000000"/>
        <rFont val="Noto Sans CJK SC"/>
        <family val="2"/>
      </rPr>
      <t xml:space="preserve">편집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초 뒤 별도 위치에 자동 저장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다음 실행 때 복구 여부 확인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프로젝트 저장을 원자적 쓰기로 변경</t>
    </r>
  </si>
  <si>
    <t xml:space="preserve">c51451b</t>
  </si>
  <si>
    <r>
      <rPr>
        <sz val="10"/>
        <color rgb="FF000000"/>
        <rFont val="Arial"/>
        <family val="0"/>
        <charset val="1"/>
      </rPr>
      <t xml:space="preserve">[3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취소 시 기존 영상이 깨지는 문제</t>
    </r>
  </si>
  <si>
    <r>
      <rPr>
        <sz val="10"/>
        <color rgb="FF000000"/>
        <rFont val="Noto Sans CJK SC"/>
        <family val="2"/>
      </rPr>
      <t xml:space="preserve">최종 인코딩을 임시 파일에 쓰고 성공했을 때만 이름을 바꿈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취소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오류 시 기존 파일 그대로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임시 파일 정리</t>
    </r>
  </si>
  <si>
    <t xml:space="preserve">332d576</t>
  </si>
  <si>
    <r>
      <rPr>
        <sz val="10"/>
        <color rgb="FF000000"/>
        <rFont val="Arial"/>
        <family val="0"/>
        <charset val="1"/>
      </rPr>
      <t xml:space="preserve">[3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없어진 파일 확인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다시 연결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쉬운 오류 문구</t>
    </r>
  </si>
  <si>
    <r>
      <rPr>
        <sz val="10"/>
        <color rgb="FF000000"/>
        <rFont val="Noto Sans CJK SC"/>
        <family val="2"/>
      </rPr>
      <t xml:space="preserve">렌더 전 없는 파일 목록 표시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폴더를 고르면 같은 이름으로 찾아 다시 연결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디스크 부족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권한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손상 파일 등은 한글 설명</t>
    </r>
  </si>
  <si>
    <r>
      <rPr>
        <sz val="10"/>
        <color rgb="FF000000"/>
        <rFont val="Arial"/>
        <family val="0"/>
        <charset val="1"/>
      </rPr>
      <t xml:space="preserve">[3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다시 연결 화면 흐름</t>
    </r>
  </si>
  <si>
    <r>
      <rPr>
        <sz val="10"/>
        <color rgb="FF000000"/>
        <rFont val="Noto Sans CJK SC"/>
        <family val="2"/>
      </rPr>
      <t xml:space="preserve">클립을 다른 폴더로 옮긴 프로젝트 열기 →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폴더에서 찾기</t>
    </r>
    <r>
      <rPr>
        <sz val="10"/>
        <color rgb="FF000000"/>
        <rFont val="Arial"/>
        <family val="0"/>
        <charset val="1"/>
      </rPr>
      <t xml:space="preserve">' → </t>
    </r>
    <r>
      <rPr>
        <sz val="10"/>
        <color rgb="FF000000"/>
        <rFont val="Noto Sans CJK SC"/>
        <family val="2"/>
      </rPr>
      <t xml:space="preserve">하위 폴더에서 찾아 연결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렌더 전에도 같은 확인</t>
    </r>
  </si>
  <si>
    <t xml:space="preserve">통과</t>
  </si>
  <si>
    <t xml:space="preserve">개발 일지 엑셀</t>
  </si>
  <si>
    <r>
      <rPr>
        <sz val="10"/>
        <color rgb="FF000000"/>
        <rFont val="Arial"/>
        <family val="0"/>
        <charset val="1"/>
      </rPr>
      <t xml:space="preserve">devlog.json </t>
    </r>
    <r>
      <rPr>
        <sz val="10"/>
        <color rgb="FF000000"/>
        <rFont val="Noto Sans CJK SC"/>
        <family val="2"/>
      </rPr>
      <t xml:space="preserve">한 곳에 기록 → </t>
    </r>
    <r>
      <rPr>
        <sz val="10"/>
        <color rgb="FF000000"/>
        <rFont val="Arial"/>
        <family val="0"/>
        <charset val="1"/>
      </rPr>
      <t xml:space="preserve">tools/make_devlog.py</t>
    </r>
    <r>
      <rPr>
        <sz val="10"/>
        <color rgb="FF000000"/>
        <rFont val="Noto Sans CJK SC"/>
        <family val="2"/>
      </rPr>
      <t xml:space="preserve">가 </t>
    </r>
    <r>
      <rPr>
        <sz val="10"/>
        <color rgb="FF000000"/>
        <rFont val="Arial"/>
        <family val="0"/>
        <charset val="1"/>
      </rPr>
      <t xml:space="preserve">DEVLOG.xlsx(</t>
    </r>
    <r>
      <rPr>
        <sz val="10"/>
        <color rgb="FF000000"/>
        <rFont val="Noto Sans CJK SC"/>
        <family val="2"/>
      </rPr>
      <t xml:space="preserve">요약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로드맵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개발 기록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테스트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와 </t>
    </r>
    <r>
      <rPr>
        <sz val="10"/>
        <color rgb="FF000000"/>
        <rFont val="Arial"/>
        <family val="0"/>
        <charset val="1"/>
      </rPr>
      <t xml:space="preserve">DEVLOG.md </t>
    </r>
    <r>
      <rPr>
        <sz val="10"/>
        <color rgb="FF000000"/>
        <rFont val="Noto Sans CJK SC"/>
        <family val="2"/>
      </rPr>
      <t xml:space="preserve">생성</t>
    </r>
  </si>
  <si>
    <r>
      <rPr>
        <sz val="10"/>
        <color rgb="FF000000"/>
        <rFont val="Arial"/>
        <family val="0"/>
        <charset val="1"/>
      </rPr>
      <t xml:space="preserve">[4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남은 시간 표시</t>
    </r>
  </si>
  <si>
    <r>
      <rPr>
        <sz val="10"/>
        <color rgb="FF000000"/>
        <rFont val="Noto Sans CJK SC"/>
        <family val="2"/>
      </rPr>
      <t xml:space="preserve">상태줄에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남은 시간 약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분 </t>
    </r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표시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시작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·3% </t>
    </r>
    <r>
      <rPr>
        <sz val="10"/>
        <color rgb="FF000000"/>
        <rFont val="Noto Sans CJK SC"/>
        <family val="2"/>
      </rPr>
      <t xml:space="preserve">이후부터</t>
    </r>
    <r>
      <rPr>
        <sz val="10"/>
        <color rgb="FF000000"/>
        <rFont val="Arial"/>
        <family val="0"/>
        <charset val="1"/>
      </rPr>
      <t xml:space="preserve">). 1·2</t>
    </r>
    <r>
      <rPr>
        <sz val="10"/>
        <color rgb="FF000000"/>
        <rFont val="Noto Sans CJK SC"/>
        <family val="2"/>
      </rPr>
      <t xml:space="preserve">단계 실제 시간 비율을 재서 진행률 배분 조정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내보내기 </t>
    </r>
    <r>
      <rPr>
        <sz val="10"/>
        <color rgb="FF000000"/>
        <rFont val="Arial"/>
        <family val="0"/>
        <charset val="1"/>
      </rPr>
      <t xml:space="preserve">50:50, </t>
    </r>
    <r>
      <rPr>
        <sz val="10"/>
        <color rgb="FF000000"/>
        <rFont val="Noto Sans CJK SC"/>
        <family val="2"/>
      </rPr>
      <t xml:space="preserve">미리보기 </t>
    </r>
    <r>
      <rPr>
        <sz val="10"/>
        <color rgb="FF000000"/>
        <rFont val="Arial"/>
        <family val="0"/>
        <charset val="1"/>
      </rPr>
      <t xml:space="preserve">75:25 (</t>
    </r>
    <r>
      <rPr>
        <sz val="10"/>
        <color rgb="FF000000"/>
        <rFont val="Noto Sans CJK SC"/>
        <family val="2"/>
      </rPr>
      <t xml:space="preserve">실측 </t>
    </r>
    <r>
      <rPr>
        <sz val="10"/>
        <color rgb="FF000000"/>
        <rFont val="Arial"/>
        <family val="0"/>
        <charset val="1"/>
      </rPr>
      <t xml:space="preserve">0.52 / 0.75 / 0.42)</t>
    </r>
  </si>
  <si>
    <t xml:space="preserve">af939c2</t>
  </si>
  <si>
    <r>
      <rPr>
        <sz val="10"/>
        <color rgb="FF000000"/>
        <rFont val="Arial"/>
        <family val="0"/>
        <charset val="1"/>
      </rPr>
      <t xml:space="preserve">[5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클립 목록 썸네일</t>
    </r>
  </si>
  <si>
    <r>
      <rPr>
        <sz val="10"/>
        <color rgb="FF000000"/>
        <rFont val="Noto Sans CJK SC"/>
        <family val="2"/>
      </rPr>
      <t xml:space="preserve">영상마다 시작점에서 조금 뒤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최대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장면을 뒤에서 만들어 목록에 표시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자르기 시작점을 바꾸면 썸네일도 바뀜</t>
    </r>
    <r>
      <rPr>
        <sz val="10"/>
        <color rgb="FF000000"/>
        <rFont val="Arial"/>
        <family val="0"/>
        <charset val="1"/>
      </rPr>
      <t xml:space="preserve">. HEVC·VP9·</t>
    </r>
    <r>
      <rPr>
        <sz val="10"/>
        <color rgb="FF000000"/>
        <rFont val="Noto Sans CJK SC"/>
        <family val="2"/>
      </rPr>
      <t xml:space="preserve">회전 영상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사진에서 확인</t>
    </r>
  </si>
  <si>
    <t xml:space="preserve">612e0d2</t>
  </si>
  <si>
    <r>
      <rPr>
        <sz val="10"/>
        <color rgb="FF000000"/>
        <rFont val="Arial"/>
        <family val="0"/>
        <charset val="1"/>
      </rPr>
      <t xml:space="preserve">[6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음량 자동 맞춤</t>
    </r>
  </si>
  <si>
    <r>
      <rPr>
        <sz val="10"/>
        <color rgb="FF000000"/>
        <rFont val="Noto Sans CJK SC"/>
        <family val="2"/>
      </rPr>
      <t xml:space="preserve">최종 소리에 </t>
    </r>
    <r>
      <rPr>
        <sz val="10"/>
        <color rgb="FF000000"/>
        <rFont val="Arial"/>
        <family val="0"/>
        <charset val="1"/>
      </rPr>
      <t xml:space="preserve">loudnorm(-14 LUFS, </t>
    </r>
    <r>
      <rPr>
        <sz val="10"/>
        <color rgb="FF000000"/>
        <rFont val="Noto Sans CJK SC"/>
        <family val="2"/>
      </rPr>
      <t xml:space="preserve">최대 </t>
    </r>
    <r>
      <rPr>
        <sz val="10"/>
        <color rgb="FF000000"/>
        <rFont val="Arial"/>
        <family val="0"/>
        <charset val="1"/>
      </rPr>
      <t xml:space="preserve">-1.5 dBTP) </t>
    </r>
    <r>
      <rPr>
        <sz val="10"/>
        <color rgb="FF000000"/>
        <rFont val="Noto Sans CJK SC"/>
        <family val="2"/>
      </rPr>
      <t xml:space="preserve">적용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내보내기의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음량 자동 맞춤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체크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기본 켬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측정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노래 </t>
    </r>
    <r>
      <rPr>
        <sz val="10"/>
        <color rgb="FF000000"/>
        <rFont val="Arial"/>
        <family val="0"/>
        <charset val="1"/>
      </rPr>
      <t xml:space="preserve">10% → -13.5 LUFS, </t>
    </r>
    <r>
      <rPr>
        <sz val="10"/>
        <color rgb="FF000000"/>
        <rFont val="Noto Sans CJK SC"/>
        <family val="2"/>
      </rPr>
      <t xml:space="preserve">노래 </t>
    </r>
    <r>
      <rPr>
        <sz val="10"/>
        <color rgb="FF000000"/>
        <rFont val="Arial"/>
        <family val="0"/>
        <charset val="1"/>
      </rPr>
      <t xml:space="preserve">200% → -13.5 LUFS, </t>
    </r>
    <r>
      <rPr>
        <sz val="10"/>
        <color rgb="FF000000"/>
        <rFont val="Noto Sans CJK SC"/>
        <family val="2"/>
      </rPr>
      <t xml:space="preserve">끔 → </t>
    </r>
    <r>
      <rPr>
        <sz val="10"/>
        <color rgb="FF000000"/>
        <rFont val="Arial"/>
        <family val="0"/>
        <charset val="1"/>
      </rPr>
      <t xml:space="preserve">-16.0 LUFS</t>
    </r>
  </si>
  <si>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이번 커밋</t>
    </r>
    <r>
      <rPr>
        <sz val="10"/>
        <color rgb="FF000000"/>
        <rFont val="Arial"/>
        <family val="0"/>
        <charset val="1"/>
      </rPr>
      <t xml:space="preserve">)</t>
    </r>
  </si>
  <si>
    <t xml:space="preserve">테스트 수</t>
  </si>
  <si>
    <t xml:space="preserve">통과율</t>
  </si>
  <si>
    <t xml:space="preserve">메모</t>
  </si>
  <si>
    <t xml:space="preserve">비트 맞춤 수정 후</t>
  </si>
  <si>
    <t xml:space="preserve">병렬 렌더 취소 테스트 추가</t>
  </si>
  <si>
    <t xml:space="preserve">자동 저장 테스트 추가</t>
  </si>
  <si>
    <r>
      <rPr>
        <sz val="10"/>
        <color rgb="FF000000"/>
        <rFont val="Noto Sans CJK SC"/>
        <family val="2"/>
      </rPr>
      <t xml:space="preserve">취소 시 파일 보호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없는 파일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다시 연결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오류 문구 테스트 추가</t>
    </r>
  </si>
  <si>
    <t xml:space="preserve">남은 시간 문구 테스트 추가</t>
  </si>
  <si>
    <t xml:space="preserve">썸네일 테스트 추가</t>
  </si>
  <si>
    <t xml:space="preserve">음량 필터 테스트 추가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</si>
</sst>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6"/>
      <name val="Noto Sans CJK SC"/>
      <family val="2"/>
    </font>
    <font>
      <sz val="10"/>
      <name val="Arial"/>
      <family val="0"/>
      <charset val="1"/>
    </font>
    <font>
      <b val="true"/>
      <sz val="10"/>
      <name val="Noto Sans CJK SC"/>
      <family val="2"/>
    </font>
    <font>
      <b val="true"/>
      <sz val="11"/>
      <name val="Noto Sans CJK SC"/>
      <family val="2"/>
    </font>
    <font>
      <sz val="10"/>
      <name val="Noto Sans CJK SC"/>
      <family val="2"/>
    </font>
    <font>
      <b val="true"/>
      <sz val="10"/>
      <color rgb="FFFFFFFF"/>
      <name val="Noto Sans CJK SC"/>
      <family val="2"/>
    </font>
    <font>
      <sz val="10"/>
      <color rgb="FF000000"/>
      <name val="Arial"/>
      <family val="0"/>
      <charset val="1"/>
    </font>
    <font>
      <sz val="10"/>
      <color rgb="FF000000"/>
      <name val="Noto Sans CJK SC"/>
      <family val="2"/>
    </font>
  </fonts>
  <fills count="3">
    <fill>
      <patternFill patternType="none"/>
    </fill>
    <fill>
      <patternFill patternType="gray125"/>
    </fill>
    <fill>
      <patternFill patternType="solid">
        <fgColor rgb="FFFF8C28"/>
        <bgColor rgb="FFFF808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5" fontId="6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FF8C2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F2D9"/>
          <bgColor rgb="FF000000"/>
        </patternFill>
      </fill>
    </dxf>
    <dxf>
      <fill>
        <patternFill patternType="solid">
          <fgColor rgb="FFEEEEEE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D9F2D9"/>
        </patternFill>
      </fill>
    </dxf>
    <dxf>
      <fill>
        <patternFill>
          <bgColor rgb="FFFFF2CC"/>
        </patternFill>
      </fill>
    </dxf>
    <dxf>
      <fill>
        <patternFill>
          <bgColor rgb="FFEEEEE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EEEEE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F2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8C28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Log" displayName="Log" ref="A1:F19" headerRowCount="1" totalsRowCount="0" totalsRowShown="0">
  <autoFilter ref="A1:F19"/>
  <tableColumns count="6">
    <tableColumn id="1" name="날짜"/>
    <tableColumn id="2" name="구분"/>
    <tableColumn id="3" name="항목"/>
    <tableColumn id="4" name="내용"/>
    <tableColumn id="5" name="결과"/>
    <tableColumn id="6" name="커밋"/>
  </tableColumns>
</table>
</file>

<file path=xl/tables/table2.xml><?xml version="1.0" encoding="utf-8"?>
<table xmlns="http://schemas.openxmlformats.org/spreadsheetml/2006/main" id="2" name="Roadmap" displayName="Roadmap" ref="A1:F10" headerRowCount="1" totalsRowCount="0" totalsRowShown="0">
  <autoFilter ref="A1:F10"/>
  <tableColumns count="6">
    <tableColumn id="1" name="순위"/>
    <tableColumn id="2" name="항목"/>
    <tableColumn id="3" name="기준"/>
    <tableColumn id="4" name="이유"/>
    <tableColumn id="5" name="상태"/>
    <tableColumn id="6" name="완료일"/>
  </tableColumns>
</table>
</file>

<file path=xl/tables/table3.xml><?xml version="1.0" encoding="utf-8"?>
<table xmlns="http://schemas.openxmlformats.org/spreadsheetml/2006/main" id="3" name="Tests" displayName="Tests" ref="A1:E8" headerRowCount="1" totalsRowCount="0" totalsRowShown="0">
  <autoFilter ref="A1:E8"/>
  <tableColumns count="5">
    <tableColumn id="1" name="날짜"/>
    <tableColumn id="2" name="테스트 수"/>
    <tableColumn id="3" name="통과"/>
    <tableColumn id="4" name="통과율"/>
    <tableColumn id="5" name="메모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70"/>
  </cols>
  <sheetData>
    <row r="1" customFormat="false" ht="46.25" hidden="false" customHeight="false" outlineLevel="0" collapsed="false">
      <c r="A1" s="1" t="s">
        <v>0</v>
      </c>
      <c r="B1" s="2"/>
    </row>
    <row r="2" customFormat="false" ht="15" hidden="false" customHeight="false" outlineLevel="0" collapsed="false">
      <c r="A2" s="2"/>
      <c r="B2" s="2"/>
    </row>
    <row r="3" customFormat="false" ht="15" hidden="false" customHeight="false" outlineLevel="0" collapsed="false">
      <c r="A3" s="3" t="s">
        <v>1</v>
      </c>
      <c r="B3" s="2" t="n">
        <f aca="false">COUNTA(로드맵!B2:B10)</f>
        <v>9</v>
      </c>
    </row>
    <row r="4" customFormat="false" ht="15" hidden="false" customHeight="false" outlineLevel="0" collapsed="false">
      <c r="A4" s="3" t="s">
        <v>2</v>
      </c>
      <c r="B4" s="2" t="n">
        <f aca="false">COUNTIF(로드맵!E2:E10,"완료")</f>
        <v>6</v>
      </c>
    </row>
    <row r="5" customFormat="false" ht="15" hidden="false" customHeight="false" outlineLevel="0" collapsed="false">
      <c r="A5" s="3" t="s">
        <v>3</v>
      </c>
      <c r="B5" s="2" t="n">
        <f aca="false">COUNTIF(로드맵!E2:E10,"진행 중")</f>
        <v>1</v>
      </c>
    </row>
    <row r="6" customFormat="false" ht="15" hidden="false" customHeight="false" outlineLevel="0" collapsed="false">
      <c r="A6" s="3" t="s">
        <v>4</v>
      </c>
      <c r="B6" s="2" t="n">
        <f aca="false">COUNTIF(로드맵!E2:E10,"대기")</f>
        <v>2</v>
      </c>
    </row>
    <row r="7" customFormat="false" ht="15" hidden="false" customHeight="false" outlineLevel="0" collapsed="false">
      <c r="A7" s="3" t="s">
        <v>5</v>
      </c>
      <c r="B7" s="4" t="n">
        <f aca="false">IFERROR(B4/B3,0)</f>
        <v>0.666666666666667</v>
      </c>
    </row>
    <row r="8" customFormat="false" ht="15" hidden="false" customHeight="false" outlineLevel="0" collapsed="false">
      <c r="A8" s="3"/>
      <c r="B8" s="2"/>
    </row>
    <row r="9" customFormat="false" ht="15" hidden="false" customHeight="false" outlineLevel="0" collapsed="false">
      <c r="A9" s="3" t="s">
        <v>6</v>
      </c>
      <c r="B9" s="2" t="n">
        <f aca="false">COUNTA('개발 기록'!C2:C19)</f>
        <v>18</v>
      </c>
    </row>
    <row r="10" customFormat="false" ht="15" hidden="false" customHeight="false" outlineLevel="0" collapsed="false">
      <c r="A10" s="3" t="s">
        <v>7</v>
      </c>
      <c r="B10" s="2" t="n">
        <f aca="false">COUNTIF('개발 기록'!B2:B19,"사용자 제보")</f>
        <v>3</v>
      </c>
    </row>
    <row r="11" customFormat="false" ht="15" hidden="false" customHeight="false" outlineLevel="0" collapsed="false">
      <c r="A11" s="3" t="s">
        <v>8</v>
      </c>
      <c r="B11" s="2" t="n">
        <f aca="false">INDEX(테스트!B2:B8,7)</f>
        <v>61</v>
      </c>
    </row>
    <row r="12" customFormat="false" ht="15" hidden="false" customHeight="false" outlineLevel="0" collapsed="false">
      <c r="A12" s="3" t="s">
        <v>9</v>
      </c>
      <c r="B12" s="2" t="n">
        <f aca="false">INDEX(테스트!C2:C8,7)</f>
        <v>61</v>
      </c>
    </row>
    <row r="13" customFormat="false" ht="15" hidden="false" customHeight="false" outlineLevel="0" collapsed="false">
      <c r="A13" s="2"/>
      <c r="B13" s="2"/>
    </row>
    <row r="14" customFormat="false" ht="17.15" hidden="false" customHeight="false" outlineLevel="0" collapsed="false">
      <c r="A14" s="5" t="s">
        <v>10</v>
      </c>
      <c r="B14" s="2"/>
    </row>
    <row r="15" customFormat="false" ht="15" hidden="false" customHeight="false" outlineLevel="0" collapsed="false">
      <c r="A15" s="6" t="s">
        <v>11</v>
      </c>
      <c r="B15" s="6" t="s">
        <v>12</v>
      </c>
    </row>
    <row r="16" customFormat="false" ht="15" hidden="false" customHeight="false" outlineLevel="0" collapsed="false">
      <c r="A16" s="6" t="s">
        <v>13</v>
      </c>
      <c r="B16" s="6" t="s">
        <v>14</v>
      </c>
    </row>
    <row r="17" customFormat="false" ht="15" hidden="false" customHeight="false" outlineLevel="0" collapsed="false">
      <c r="A17" s="6" t="s">
        <v>15</v>
      </c>
      <c r="B17" s="6" t="s">
        <v>16</v>
      </c>
    </row>
    <row r="18" customFormat="false" ht="15" hidden="false" customHeight="false" outlineLevel="0" collapsed="false">
      <c r="A18" s="6" t="s">
        <v>17</v>
      </c>
      <c r="B18" s="6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8"/>
    <col collapsed="false" customWidth="true" hidden="false" outlineLevel="0" max="3" min="3" style="0" width="9"/>
    <col collapsed="false" customWidth="true" hidden="false" outlineLevel="0" max="4" min="4" style="0" width="48"/>
    <col collapsed="false" customWidth="true" hidden="false" outlineLevel="0" max="5" min="5" style="0" width="10"/>
    <col collapsed="false" customWidth="true" hidden="false" outlineLevel="0" max="6" min="6" style="0" width="12"/>
  </cols>
  <sheetData>
    <row r="1" customFormat="false" ht="15" hidden="false" customHeight="false" outlineLevel="0" collapsed="false">
      <c r="A1" s="7" t="s">
        <v>19</v>
      </c>
      <c r="B1" s="7" t="s">
        <v>20</v>
      </c>
      <c r="C1" s="7" t="s">
        <v>21</v>
      </c>
      <c r="D1" s="7" t="s">
        <v>22</v>
      </c>
      <c r="E1" s="7" t="s">
        <v>23</v>
      </c>
      <c r="F1" s="7" t="s">
        <v>24</v>
      </c>
    </row>
    <row r="2" customFormat="false" ht="15" hidden="false" customHeight="false" outlineLevel="0" collapsed="false">
      <c r="A2" s="8" t="n">
        <v>1</v>
      </c>
      <c r="B2" s="9" t="s">
        <v>25</v>
      </c>
      <c r="C2" s="9" t="s">
        <v>26</v>
      </c>
      <c r="D2" s="9" t="s">
        <v>27</v>
      </c>
      <c r="E2" s="9" t="s">
        <v>2</v>
      </c>
      <c r="F2" s="8" t="s">
        <v>28</v>
      </c>
    </row>
    <row r="3" customFormat="false" ht="15" hidden="false" customHeight="false" outlineLevel="0" collapsed="false">
      <c r="A3" s="8" t="n">
        <v>2</v>
      </c>
      <c r="B3" s="9" t="s">
        <v>29</v>
      </c>
      <c r="C3" s="9" t="s">
        <v>30</v>
      </c>
      <c r="D3" s="9" t="s">
        <v>31</v>
      </c>
      <c r="E3" s="9" t="s">
        <v>2</v>
      </c>
      <c r="F3" s="8" t="s">
        <v>28</v>
      </c>
    </row>
    <row r="4" customFormat="false" ht="29.85" hidden="false" customHeight="false" outlineLevel="0" collapsed="false">
      <c r="A4" s="8" t="n">
        <v>3</v>
      </c>
      <c r="B4" s="9" t="s">
        <v>32</v>
      </c>
      <c r="C4" s="9" t="s">
        <v>30</v>
      </c>
      <c r="D4" s="9" t="s">
        <v>33</v>
      </c>
      <c r="E4" s="9" t="s">
        <v>2</v>
      </c>
      <c r="F4" s="8" t="s">
        <v>28</v>
      </c>
    </row>
    <row r="5" customFormat="false" ht="15" hidden="false" customHeight="false" outlineLevel="0" collapsed="false">
      <c r="A5" s="8" t="n">
        <v>4</v>
      </c>
      <c r="B5" s="9" t="s">
        <v>34</v>
      </c>
      <c r="C5" s="9" t="s">
        <v>26</v>
      </c>
      <c r="D5" s="9" t="s">
        <v>35</v>
      </c>
      <c r="E5" s="9" t="s">
        <v>2</v>
      </c>
      <c r="F5" s="8" t="s">
        <v>28</v>
      </c>
    </row>
    <row r="6" customFormat="false" ht="15" hidden="false" customHeight="false" outlineLevel="0" collapsed="false">
      <c r="A6" s="8" t="n">
        <v>5</v>
      </c>
      <c r="B6" s="9" t="s">
        <v>36</v>
      </c>
      <c r="C6" s="9" t="s">
        <v>26</v>
      </c>
      <c r="D6" s="9" t="s">
        <v>37</v>
      </c>
      <c r="E6" s="9" t="s">
        <v>2</v>
      </c>
      <c r="F6" s="8" t="s">
        <v>28</v>
      </c>
    </row>
    <row r="7" customFormat="false" ht="15" hidden="false" customHeight="false" outlineLevel="0" collapsed="false">
      <c r="A7" s="8" t="n">
        <v>6</v>
      </c>
      <c r="B7" s="9" t="s">
        <v>38</v>
      </c>
      <c r="C7" s="9" t="s">
        <v>39</v>
      </c>
      <c r="D7" s="9" t="s">
        <v>40</v>
      </c>
      <c r="E7" s="9" t="s">
        <v>2</v>
      </c>
      <c r="F7" s="8" t="s">
        <v>28</v>
      </c>
    </row>
    <row r="8" customFormat="false" ht="15" hidden="false" customHeight="false" outlineLevel="0" collapsed="false">
      <c r="A8" s="8" t="n">
        <v>7</v>
      </c>
      <c r="B8" s="9" t="s">
        <v>41</v>
      </c>
      <c r="C8" s="9" t="s">
        <v>39</v>
      </c>
      <c r="D8" s="9" t="s">
        <v>42</v>
      </c>
      <c r="E8" s="9" t="s">
        <v>3</v>
      </c>
      <c r="F8" s="8"/>
    </row>
    <row r="9" customFormat="false" ht="15" hidden="false" customHeight="false" outlineLevel="0" collapsed="false">
      <c r="A9" s="8" t="n">
        <v>8</v>
      </c>
      <c r="B9" s="9" t="s">
        <v>43</v>
      </c>
      <c r="C9" s="9" t="s">
        <v>39</v>
      </c>
      <c r="D9" s="9" t="s">
        <v>44</v>
      </c>
      <c r="E9" s="9" t="s">
        <v>4</v>
      </c>
      <c r="F9" s="8"/>
    </row>
    <row r="10" customFormat="false" ht="15" hidden="false" customHeight="false" outlineLevel="0" collapsed="false">
      <c r="A10" s="8" t="n">
        <v>9</v>
      </c>
      <c r="B10" s="9" t="s">
        <v>45</v>
      </c>
      <c r="C10" s="9" t="s">
        <v>39</v>
      </c>
      <c r="D10" s="9" t="s">
        <v>46</v>
      </c>
      <c r="E10" s="9" t="s">
        <v>4</v>
      </c>
      <c r="F10" s="8"/>
    </row>
  </sheetData>
  <conditionalFormatting sqref="E2:E10">
    <cfRule type="cellIs" priority="2" operator="equal" aboveAverage="0" equalAverage="0" bottom="0" percent="0" rank="0" text="" dxfId="7">
      <formula>"완료"</formula>
    </cfRule>
    <cfRule type="cellIs" priority="3" operator="equal" aboveAverage="0" equalAverage="0" bottom="0" percent="0" rank="0" text="" dxfId="8">
      <formula>"진행 중"</formula>
    </cfRule>
    <cfRule type="cellIs" priority="4" operator="equal" aboveAverage="0" equalAverage="0" bottom="0" percent="0" rank="0" text="" dxfId="9">
      <formula>"대기"</formula>
    </cfRule>
    <cfRule type="cellIs" priority="5" operator="equal" aboveAverage="0" equalAverage="0" bottom="0" percent="0" rank="0" text="" dxfId="7">
      <formula>"수정"</formula>
    </cfRule>
    <cfRule type="cellIs" priority="6" operator="equal" aboveAverage="0" equalAverage="0" bottom="0" percent="0" rank="0" text="" dxfId="8">
      <formula>"확인 대기"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1"/>
    <col collapsed="false" customWidth="true" hidden="false" outlineLevel="0" max="3" min="3" style="0" width="34"/>
    <col collapsed="false" customWidth="true" hidden="false" outlineLevel="0" max="4" min="4" style="0" width="70"/>
    <col collapsed="false" customWidth="true" hidden="false" outlineLevel="0" max="5" min="5" style="0" width="14"/>
    <col collapsed="false" customWidth="true" hidden="false" outlineLevel="0" max="6" min="6" style="0" width="10"/>
  </cols>
  <sheetData>
    <row r="1" customFormat="false" ht="15" hidden="false" customHeight="false" outlineLevel="0" collapsed="false">
      <c r="A1" s="7" t="s">
        <v>47</v>
      </c>
      <c r="B1" s="7" t="s">
        <v>48</v>
      </c>
      <c r="C1" s="7" t="s">
        <v>20</v>
      </c>
      <c r="D1" s="7" t="s">
        <v>49</v>
      </c>
      <c r="E1" s="7" t="s">
        <v>50</v>
      </c>
      <c r="F1" s="7" t="s">
        <v>51</v>
      </c>
    </row>
    <row r="2" customFormat="false" ht="15" hidden="false" customHeight="false" outlineLevel="0" collapsed="false">
      <c r="A2" s="8" t="s">
        <v>52</v>
      </c>
      <c r="B2" s="9" t="s">
        <v>53</v>
      </c>
      <c r="C2" s="9" t="s">
        <v>54</v>
      </c>
      <c r="D2" s="9" t="s">
        <v>55</v>
      </c>
      <c r="E2" s="9" t="s">
        <v>2</v>
      </c>
      <c r="F2" s="8" t="s">
        <v>56</v>
      </c>
    </row>
    <row r="3" customFormat="false" ht="29.85" hidden="false" customHeight="false" outlineLevel="0" collapsed="false">
      <c r="A3" s="8" t="s">
        <v>52</v>
      </c>
      <c r="B3" s="9" t="s">
        <v>53</v>
      </c>
      <c r="C3" s="9" t="s">
        <v>57</v>
      </c>
      <c r="D3" s="8" t="s">
        <v>58</v>
      </c>
      <c r="E3" s="9" t="s">
        <v>2</v>
      </c>
      <c r="F3" s="8" t="s">
        <v>59</v>
      </c>
    </row>
    <row r="4" customFormat="false" ht="15" hidden="false" customHeight="false" outlineLevel="0" collapsed="false">
      <c r="A4" s="8" t="s">
        <v>52</v>
      </c>
      <c r="B4" s="9" t="s">
        <v>60</v>
      </c>
      <c r="C4" s="8" t="s">
        <v>61</v>
      </c>
      <c r="D4" s="8" t="s">
        <v>62</v>
      </c>
      <c r="E4" s="9" t="s">
        <v>63</v>
      </c>
      <c r="F4" s="8" t="s">
        <v>59</v>
      </c>
    </row>
    <row r="5" customFormat="false" ht="15" hidden="false" customHeight="false" outlineLevel="0" collapsed="false">
      <c r="A5" s="8" t="s">
        <v>52</v>
      </c>
      <c r="B5" s="9" t="s">
        <v>53</v>
      </c>
      <c r="C5" s="9" t="s">
        <v>64</v>
      </c>
      <c r="D5" s="9" t="s">
        <v>65</v>
      </c>
      <c r="E5" s="9" t="s">
        <v>2</v>
      </c>
      <c r="F5" s="8" t="s">
        <v>66</v>
      </c>
    </row>
    <row r="6" customFormat="false" ht="15" hidden="false" customHeight="false" outlineLevel="0" collapsed="false">
      <c r="A6" s="8" t="s">
        <v>52</v>
      </c>
      <c r="B6" s="9" t="s">
        <v>53</v>
      </c>
      <c r="C6" s="9" t="s">
        <v>67</v>
      </c>
      <c r="D6" s="8" t="s">
        <v>68</v>
      </c>
      <c r="E6" s="9" t="s">
        <v>2</v>
      </c>
      <c r="F6" s="8" t="s">
        <v>69</v>
      </c>
    </row>
    <row r="7" customFormat="false" ht="29.85" hidden="false" customHeight="false" outlineLevel="0" collapsed="false">
      <c r="A7" s="8" t="s">
        <v>52</v>
      </c>
      <c r="B7" s="9" t="s">
        <v>70</v>
      </c>
      <c r="C7" s="9" t="s">
        <v>71</v>
      </c>
      <c r="D7" s="9" t="s">
        <v>72</v>
      </c>
      <c r="E7" s="9" t="s">
        <v>60</v>
      </c>
      <c r="F7" s="8" t="s">
        <v>73</v>
      </c>
    </row>
    <row r="8" customFormat="false" ht="29.85" hidden="false" customHeight="false" outlineLevel="0" collapsed="false">
      <c r="A8" s="8" t="s">
        <v>52</v>
      </c>
      <c r="B8" s="9" t="s">
        <v>70</v>
      </c>
      <c r="C8" s="9" t="s">
        <v>74</v>
      </c>
      <c r="D8" s="9" t="s">
        <v>75</v>
      </c>
      <c r="E8" s="9" t="s">
        <v>60</v>
      </c>
      <c r="F8" s="8" t="s">
        <v>76</v>
      </c>
    </row>
    <row r="9" customFormat="false" ht="29.85" hidden="false" customHeight="false" outlineLevel="0" collapsed="false">
      <c r="A9" s="8" t="s">
        <v>52</v>
      </c>
      <c r="B9" s="9" t="s">
        <v>70</v>
      </c>
      <c r="C9" s="9" t="s">
        <v>77</v>
      </c>
      <c r="D9" s="9" t="s">
        <v>78</v>
      </c>
      <c r="E9" s="9" t="s">
        <v>79</v>
      </c>
      <c r="F9" s="8" t="s">
        <v>80</v>
      </c>
    </row>
    <row r="10" customFormat="false" ht="29.85" hidden="false" customHeight="false" outlineLevel="0" collapsed="false">
      <c r="A10" s="8" t="s">
        <v>28</v>
      </c>
      <c r="B10" s="9" t="s">
        <v>81</v>
      </c>
      <c r="C10" s="9" t="s">
        <v>82</v>
      </c>
      <c r="D10" s="9" t="s">
        <v>83</v>
      </c>
      <c r="E10" s="9" t="s">
        <v>84</v>
      </c>
      <c r="F10" s="8"/>
    </row>
    <row r="11" customFormat="false" ht="29.85" hidden="false" customHeight="false" outlineLevel="0" collapsed="false">
      <c r="A11" s="8" t="s">
        <v>28</v>
      </c>
      <c r="B11" s="9" t="s">
        <v>53</v>
      </c>
      <c r="C11" s="8" t="s">
        <v>85</v>
      </c>
      <c r="D11" s="9" t="s">
        <v>86</v>
      </c>
      <c r="E11" s="9" t="s">
        <v>87</v>
      </c>
      <c r="F11" s="8" t="s">
        <v>88</v>
      </c>
    </row>
    <row r="12" customFormat="false" ht="29.85" hidden="false" customHeight="false" outlineLevel="0" collapsed="false">
      <c r="A12" s="8" t="s">
        <v>28</v>
      </c>
      <c r="B12" s="9" t="s">
        <v>53</v>
      </c>
      <c r="C12" s="8" t="s">
        <v>89</v>
      </c>
      <c r="D12" s="9" t="s">
        <v>90</v>
      </c>
      <c r="E12" s="9" t="s">
        <v>2</v>
      </c>
      <c r="F12" s="8" t="s">
        <v>91</v>
      </c>
    </row>
    <row r="13" customFormat="false" ht="29.85" hidden="false" customHeight="false" outlineLevel="0" collapsed="false">
      <c r="A13" s="8" t="s">
        <v>28</v>
      </c>
      <c r="B13" s="9" t="s">
        <v>60</v>
      </c>
      <c r="C13" s="8" t="s">
        <v>92</v>
      </c>
      <c r="D13" s="9" t="s">
        <v>93</v>
      </c>
      <c r="E13" s="9" t="s">
        <v>2</v>
      </c>
      <c r="F13" s="8" t="s">
        <v>94</v>
      </c>
    </row>
    <row r="14" customFormat="false" ht="29.85" hidden="false" customHeight="false" outlineLevel="0" collapsed="false">
      <c r="A14" s="8" t="s">
        <v>28</v>
      </c>
      <c r="B14" s="9" t="s">
        <v>53</v>
      </c>
      <c r="C14" s="8" t="s">
        <v>95</v>
      </c>
      <c r="D14" s="9" t="s">
        <v>96</v>
      </c>
      <c r="E14" s="9" t="s">
        <v>2</v>
      </c>
      <c r="F14" s="8" t="s">
        <v>94</v>
      </c>
    </row>
    <row r="15" customFormat="false" ht="29.85" hidden="false" customHeight="false" outlineLevel="0" collapsed="false">
      <c r="A15" s="8" t="s">
        <v>28</v>
      </c>
      <c r="B15" s="9" t="s">
        <v>81</v>
      </c>
      <c r="C15" s="8" t="s">
        <v>97</v>
      </c>
      <c r="D15" s="9" t="s">
        <v>98</v>
      </c>
      <c r="E15" s="9" t="s">
        <v>99</v>
      </c>
      <c r="F15" s="8"/>
    </row>
    <row r="16" customFormat="false" ht="29.85" hidden="false" customHeight="false" outlineLevel="0" collapsed="false">
      <c r="A16" s="8" t="s">
        <v>28</v>
      </c>
      <c r="B16" s="9" t="s">
        <v>53</v>
      </c>
      <c r="C16" s="9" t="s">
        <v>100</v>
      </c>
      <c r="D16" s="8" t="s">
        <v>101</v>
      </c>
      <c r="E16" s="9" t="s">
        <v>2</v>
      </c>
      <c r="F16" s="8" t="s">
        <v>94</v>
      </c>
    </row>
    <row r="17" customFormat="false" ht="29.85" hidden="false" customHeight="false" outlineLevel="0" collapsed="false">
      <c r="A17" s="8" t="s">
        <v>28</v>
      </c>
      <c r="B17" s="9" t="s">
        <v>53</v>
      </c>
      <c r="C17" s="8" t="s">
        <v>102</v>
      </c>
      <c r="D17" s="9" t="s">
        <v>103</v>
      </c>
      <c r="E17" s="9" t="s">
        <v>2</v>
      </c>
      <c r="F17" s="8" t="s">
        <v>104</v>
      </c>
    </row>
    <row r="18" customFormat="false" ht="29.85" hidden="false" customHeight="false" outlineLevel="0" collapsed="false">
      <c r="A18" s="8" t="s">
        <v>28</v>
      </c>
      <c r="B18" s="9" t="s">
        <v>53</v>
      </c>
      <c r="C18" s="8" t="s">
        <v>105</v>
      </c>
      <c r="D18" s="9" t="s">
        <v>106</v>
      </c>
      <c r="E18" s="9" t="s">
        <v>2</v>
      </c>
      <c r="F18" s="8" t="s">
        <v>107</v>
      </c>
    </row>
    <row r="19" customFormat="false" ht="29.85" hidden="false" customHeight="false" outlineLevel="0" collapsed="false">
      <c r="A19" s="8" t="s">
        <v>28</v>
      </c>
      <c r="B19" s="9" t="s">
        <v>53</v>
      </c>
      <c r="C19" s="8" t="s">
        <v>108</v>
      </c>
      <c r="D19" s="9" t="s">
        <v>109</v>
      </c>
      <c r="E19" s="9" t="s">
        <v>2</v>
      </c>
      <c r="F19" s="8" t="s">
        <v>110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4" min="3" style="0" width="8"/>
    <col collapsed="false" customWidth="true" hidden="false" outlineLevel="0" max="5" min="5" style="0" width="50"/>
  </cols>
  <sheetData>
    <row r="1" customFormat="false" ht="15" hidden="false" customHeight="false" outlineLevel="0" collapsed="false">
      <c r="A1" s="7" t="s">
        <v>47</v>
      </c>
      <c r="B1" s="7" t="s">
        <v>111</v>
      </c>
      <c r="C1" s="7" t="s">
        <v>99</v>
      </c>
      <c r="D1" s="7" t="s">
        <v>112</v>
      </c>
      <c r="E1" s="7" t="s">
        <v>113</v>
      </c>
    </row>
    <row r="2" customFormat="false" ht="15" hidden="false" customHeight="false" outlineLevel="0" collapsed="false">
      <c r="A2" s="8" t="s">
        <v>52</v>
      </c>
      <c r="B2" s="8" t="n">
        <v>50</v>
      </c>
      <c r="C2" s="8" t="n">
        <v>50</v>
      </c>
      <c r="D2" s="10" t="n">
        <f aca="false">IFERROR(C2/B2,0)</f>
        <v>1</v>
      </c>
      <c r="E2" s="9" t="s">
        <v>114</v>
      </c>
    </row>
    <row r="3" customFormat="false" ht="15" hidden="false" customHeight="false" outlineLevel="0" collapsed="false">
      <c r="A3" s="8" t="s">
        <v>28</v>
      </c>
      <c r="B3" s="8" t="n">
        <v>51</v>
      </c>
      <c r="C3" s="8" t="n">
        <v>51</v>
      </c>
      <c r="D3" s="10" t="n">
        <f aca="false">IFERROR(C3/B3,0)</f>
        <v>1</v>
      </c>
      <c r="E3" s="9" t="s">
        <v>115</v>
      </c>
    </row>
    <row r="4" customFormat="false" ht="15" hidden="false" customHeight="false" outlineLevel="0" collapsed="false">
      <c r="A4" s="8" t="s">
        <v>28</v>
      </c>
      <c r="B4" s="8" t="n">
        <v>54</v>
      </c>
      <c r="C4" s="8" t="n">
        <v>54</v>
      </c>
      <c r="D4" s="10" t="n">
        <f aca="false">IFERROR(C4/B4,0)</f>
        <v>1</v>
      </c>
      <c r="E4" s="9" t="s">
        <v>116</v>
      </c>
    </row>
    <row r="5" customFormat="false" ht="15" hidden="false" customHeight="false" outlineLevel="0" collapsed="false">
      <c r="A5" s="8" t="s">
        <v>28</v>
      </c>
      <c r="B5" s="8" t="n">
        <v>58</v>
      </c>
      <c r="C5" s="8" t="n">
        <v>58</v>
      </c>
      <c r="D5" s="10" t="n">
        <f aca="false">IFERROR(C5/B5,0)</f>
        <v>1</v>
      </c>
      <c r="E5" s="9" t="s">
        <v>117</v>
      </c>
    </row>
    <row r="6" customFormat="false" ht="15" hidden="false" customHeight="false" outlineLevel="0" collapsed="false">
      <c r="A6" s="8" t="s">
        <v>28</v>
      </c>
      <c r="B6" s="8" t="n">
        <v>59</v>
      </c>
      <c r="C6" s="8" t="n">
        <v>59</v>
      </c>
      <c r="D6" s="10" t="n">
        <f aca="false">IFERROR(C6/B6,0)</f>
        <v>1</v>
      </c>
      <c r="E6" s="9" t="s">
        <v>118</v>
      </c>
    </row>
    <row r="7" customFormat="false" ht="15" hidden="false" customHeight="false" outlineLevel="0" collapsed="false">
      <c r="A7" s="8" t="s">
        <v>28</v>
      </c>
      <c r="B7" s="8" t="n">
        <v>60</v>
      </c>
      <c r="C7" s="8" t="n">
        <v>60</v>
      </c>
      <c r="D7" s="10" t="n">
        <f aca="false">IFERROR(C7/B7,0)</f>
        <v>1</v>
      </c>
      <c r="E7" s="9" t="s">
        <v>119</v>
      </c>
    </row>
    <row r="8" customFormat="false" ht="15" hidden="false" customHeight="false" outlineLevel="0" collapsed="false">
      <c r="A8" s="8" t="s">
        <v>28</v>
      </c>
      <c r="B8" s="8" t="n">
        <v>61</v>
      </c>
      <c r="C8" s="8" t="n">
        <v>61</v>
      </c>
      <c r="D8" s="10" t="n">
        <f aca="false">IFERROR(C8/B8,0)</f>
        <v>1</v>
      </c>
      <c r="E8" s="9" t="s">
        <v>120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2026-10-28T02:14:35Z</dcterms:created>
  <dc:creator>openpyxl</dc:creator>
  <dc:description/>
  <dc:language>en-US</dc:language>
  <cp:lastModifiedBy/>
  <dcterms:modified xsi:type="dcterms:W3CDTF">2026-10-28T02:14:36Z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