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<sst xmlns="http://schemas.openxmlformats.org/spreadsheetml/2006/main" count="663" uniqueCount="346">
  <si>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</si>
  <si>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</si>
  <si>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</si>
  <si>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</si>
  <si>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</si>
  <si>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</si>
  <si>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</si>
  <si>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</si>
  <si>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</si>
  <si>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</si>
  <si>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</si>
  <si>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</si>
  <si>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</si>
  <si>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</si>
  <si>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</si>
  <si>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</si>
  <si>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</si>
  <si>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</si>
  <si>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</si>
  <si>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</si>
  <si>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</si>
  <si>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</si>
  <si>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</si>
  <si>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</si>
  <si>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</si>
  <si>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</si>
  <si>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</si>
  <si>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</si>
  <si>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</si>
  <si>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</si>
  <si>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</si>
  <si>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</si>
  <si>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</si>
  <si>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</si>
  <si>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</si>
  <si>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</si>
  <si>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</si>
  <si>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</si>
  <si>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</si>
  <si>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</si>
  <si>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</si>
  <si>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</si>
  <si>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</si>
  <si>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</si>
  <si>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</si>
  <si>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</si>
  <si>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</si>
  <si>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</si>
  <si>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</si>
  <si>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</si>
  <si>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</si>
  <si>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</si>
  <si>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</si>
  <si>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</si>
  <si>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</si>
  <si>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</si>
  <si>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</si>
  <si>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</si>
  <si>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</si>
  <si>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</si>
  <si>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</si>
  <si>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</si>
  <si>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</si>
  <si>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</si>
  <si>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</si>
  <si>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</si>
  <si>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</si>
  <si>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</si>
  <si>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</si>
  <si>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</si>
  <si>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</si>
  <si>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</si>
  <si>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</si>
  <si>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</si>
  <si>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</si>
  <si>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</si>
  <si>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</si>
  <si>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</si>
  <si>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</si>
  <si>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</si>
  <si>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</si>
  <si>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</si>
  <si>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</si>
  <si>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</si>
  <si>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</si>
  <si>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</si>
  <si>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</si>
  <si>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</si>
  <si>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</si>
  <si>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</si>
  <si>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</si>
  <si>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</si>
  <si>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</si>
  <si>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</si>
  <si>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</si>
  <si>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</si>
  <si>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</si>
  <si>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</si>
  <si>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</si>
  <si>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</si>
  <si>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찍은 날짜 정보가 없으면 물어보기</t>
  </si>
  <si>
    <r>
      <rPr>
        <sz val="10"/>
        <color rgb="FF000000"/>
        <rFont val="Noto Sans CJK SC"/>
        <family val="2"/>
      </rPr>
      <t xml:space="preserve">사용자 제안 — 메신저로 받은 사진은 날짜가 지워져 날짜순이 틀어짐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recap</t>
    </r>
    <r>
      <rPr>
        <sz val="10"/>
        <color rgb="FF000000"/>
        <rFont val="Noto Sans CJK SC"/>
        <family val="2"/>
      </rPr>
      <t xml:space="preserve">에서 특히 중요</t>
    </r>
  </si>
  <si>
    <r>
      <rPr>
        <sz val="10"/>
        <color rgb="FF000000"/>
        <rFont val="Noto Sans CJK SC"/>
        <family val="2"/>
      </rPr>
      <t xml:space="preserve">클립마다 날짜 도장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2026.03.14)</t>
    </r>
  </si>
  <si>
    <r>
      <rPr>
        <sz val="10"/>
        <color rgb="FF000000"/>
        <rFont val="Arial"/>
        <family val="0"/>
        <charset val="1"/>
      </rPr>
      <t xml:space="preserve">recap </t>
    </r>
    <r>
      <rPr>
        <sz val="10"/>
        <color rgb="FF000000"/>
        <rFont val="Noto Sans CJK SC"/>
        <family val="2"/>
      </rPr>
      <t xml:space="preserve">릴스의 대표 연출 — 언제 장면인지 보여 줌</t>
    </r>
  </si>
  <si>
    <r>
      <rPr>
        <sz val="10"/>
        <color rgb="FF000000"/>
        <rFont val="Noto Sans CJK SC"/>
        <family val="2"/>
      </rPr>
      <t xml:space="preserve">월별 제목 자동 만들기 </t>
    </r>
    <r>
      <rPr>
        <sz val="10"/>
        <color rgb="FF000000"/>
        <rFont val="Arial"/>
        <family val="0"/>
        <charset val="1"/>
      </rPr>
      <t xml:space="preserve">(JANUARY, FEBRUARY …)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</si>
  <si>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년치 영상의 구간 나누기를 손으로 하면 오래 걸림</t>
    </r>
  </si>
  <si>
    <r>
      <rPr>
        <sz val="10"/>
        <color rgb="FF000000"/>
        <rFont val="Noto Sans CJK SC"/>
        <family val="2"/>
      </rPr>
      <t xml:space="preserve">폴더 추가 때 날짜 범위로 고르기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2026</t>
    </r>
    <r>
      <rPr>
        <sz val="10"/>
        <color rgb="FF000000"/>
        <rFont val="Noto Sans CJK SC"/>
        <family val="2"/>
      </rPr>
      <t xml:space="preserve">년만</t>
    </r>
    <r>
      <rPr>
        <sz val="10"/>
        <color rgb="FF000000"/>
        <rFont val="Arial"/>
        <family val="0"/>
        <charset val="1"/>
      </rPr>
      <t xml:space="preserve">)</t>
    </r>
  </si>
  <si>
    <t xml:space="preserve">카메라 앨범 폴더엔 다른 해 사진도 섞여 있음</t>
  </si>
  <si>
    <r>
      <rPr>
        <sz val="10"/>
        <color rgb="FF000000"/>
        <rFont val="Noto Sans CJK SC"/>
        <family val="2"/>
      </rPr>
      <t xml:space="preserve">클립마다 비트 수 따로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비트</t>
    </r>
    <r>
      <rPr>
        <sz val="10"/>
        <color rgb="FF000000"/>
        <rFont val="Arial"/>
        <family val="0"/>
        <charset val="1"/>
      </rPr>
      <t xml:space="preserve">·2</t>
    </r>
    <r>
      <rPr>
        <sz val="10"/>
        <color rgb="FF000000"/>
        <rFont val="Noto Sans CJK SC"/>
        <family val="2"/>
      </rPr>
      <t xml:space="preserve">비트 …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</si>
  <si>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 — 어떤 장면은 짧게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어떤 장면은 길게</t>
    </r>
  </si>
  <si>
    <r>
      <rPr>
        <sz val="10"/>
        <color rgb="FF000000"/>
        <rFont val="Noto Sans CJK SC"/>
        <family val="2"/>
      </rPr>
      <t xml:space="preserve">내가 들은 노래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구글 테이크아웃 시청 기록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</si>
  <si>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 — </t>
    </r>
    <r>
      <rPr>
        <sz val="10"/>
        <color rgb="FF000000"/>
        <rFont val="Arial"/>
        <family val="0"/>
        <charset val="1"/>
      </rPr>
      <t xml:space="preserve">2026 recap</t>
    </r>
    <r>
      <rPr>
        <sz val="10"/>
        <color rgb="FF000000"/>
        <rFont val="Noto Sans CJK SC"/>
        <family val="2"/>
      </rPr>
      <t xml:space="preserve">에 그해 많이 들은 노래 쓰기</t>
    </r>
  </si>
  <si>
    <t xml:space="preserve">2026-10-29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</si>
  <si>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</si>
  <si>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</si>
  <si>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</si>
  <si>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</si>
  <si>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</si>
  <si>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</si>
  <si>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</si>
  <si>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</si>
  <si>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</si>
  <si>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</si>
  <si>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</si>
  <si>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</si>
  <si>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</si>
  <si>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</si>
  <si>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</si>
  <si>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</si>
  <si>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</si>
  <si>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</si>
  <si>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</si>
  <si>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</si>
  <si>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</si>
  <si>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</si>
  <si>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</si>
  <si>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</si>
  <si>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</si>
  <si>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</si>
  <si>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</si>
  <si>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</si>
  <si>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</si>
  <si>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</si>
  <si>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</si>
  <si>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</si>
  <si>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</si>
  <si>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</si>
  <si>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</si>
  <si>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</si>
  <si>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</si>
  <si>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</si>
  <si>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</si>
  <si>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</si>
  <si>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</si>
  <si>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</si>
  <si>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</si>
  <si>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</si>
  <si>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</si>
  <si>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</si>
  <si>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</si>
  <si>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</si>
  <si>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</si>
  <si>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</si>
  <si>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</si>
  <si>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</si>
  <si>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</si>
  <si>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</si>
  <si>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</si>
  <si>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</si>
  <si>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</si>
  <si>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</si>
  <si>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</si>
  <si>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</si>
  <si>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</si>
  <si>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</si>
  <si>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</si>
  <si>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</si>
  <si>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</si>
  <si>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</si>
  <si>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</si>
  <si>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</si>
  <si>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</si>
  <si>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</si>
  <si>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</si>
  <si>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</si>
  <si>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</si>
  <si>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</si>
  <si>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</si>
  <si>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</si>
  <si>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</si>
  <si>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</si>
  <si>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</si>
  <si>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</si>
  <si>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</si>
  <si>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</si>
  <si>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</si>
  <si>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</si>
  <si>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</si>
  <si>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</si>
  <si>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</si>
  <si>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</si>
  <si>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</si>
  <si>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</si>
  <si>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</si>
  <si>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</si>
  <si>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</si>
  <si>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</si>
  <si>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</si>
  <si>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</si>
  <si>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</si>
  <si>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</si>
  <si>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</si>
  <si>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</si>
  <si>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</si>
  <si>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</si>
  <si>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</si>
  <si>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</si>
  <si>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</si>
  <si>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</si>
  <si>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</si>
  <si>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</si>
  <si>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</si>
  <si>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</si>
  <si>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</si>
  <si>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</si>
  <si>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</si>
  <si>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</si>
  <si>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</si>
  <si>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</si>
  <si>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</si>
  <si>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</si>
  <si>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</si>
  <si>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</si>
  <si>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</si>
  <si>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</si>
  <si>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</si>
  <si>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</si>
  <si>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</si>
  <si>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</si>
  <si>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</si>
  <si>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</si>
  <si>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</si>
  <si>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</si>
  <si>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</si>
  <si>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</si>
  <si>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</si>
  <si>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</si>
  <si>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</si>
  <si>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</si>
  <si>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</si>
  <si>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</si>
  <si>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</si>
  <si>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</si>
  <si>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</si>
  <si>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</si>
  <si>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</si>
  <si>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</si>
  <si>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</si>
  <si>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</si>
  <si>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</si>
  <si>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</si>
  <si>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</si>
  <si>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</si>
  <si>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</si>
  <si>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</si>
  <si>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</si>
  <si>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</si>
  <si>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</si>
  <si>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</si>
  <si>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</si>
  <si>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</si>
  <si>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</si>
  <si>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</si>
  <si>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</si>
  <si>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</si>
  <si>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</si>
  <si>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</si>
  <si>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</si>
  <si>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적용</t>
    </r>
  </si>
  <si>
    <r>
      <rPr>
        <sz val="10"/>
        <color rgb="FF000000"/>
        <rFont val="Noto Sans CJK SC"/>
        <family val="2"/>
      </rPr>
      <t xml:space="preserve">파일 메뉴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지금 설정을 템플릿으로 저장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이름 입력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포함 여부 선택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템플릿 적용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템플릿 폴더 열기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경로는 빼고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적용해도 지금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 내용은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실행 취소로 되돌릴 수 있음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저장 위치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데이터 폴더</t>
    </r>
    <r>
      <rPr>
        <sz val="10"/>
        <color rgb="FF000000"/>
        <rFont val="Arial"/>
        <family val="0"/>
        <charset val="1"/>
      </rPr>
      <t xml:space="preserve">/templates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</si>
  <si>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저장→적용→실행 취소 확인</t>
    </r>
  </si>
  <si>
    <t xml:space="preserve">음악 없이 내보내기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</si>
  <si>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음악 넣기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를 끄면 비트에 맞춘 컷 계획은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트랙만 빼고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창에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인스타 앱에서 이 노래를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초부터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안내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 소리도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이면 완전 무음 영상이 되는데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앞서 고친 무음 내보내기 덕분에 정상</t>
    </r>
    <r>
      <rPr>
        <sz val="10"/>
        <color rgb="FF000000"/>
        <rFont val="Arial"/>
        <family val="0"/>
        <charset val="1"/>
      </rPr>
      <t xml:space="preserve">(8.0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-91dB) </t>
    </r>
    <r>
      <rPr>
        <sz val="10"/>
        <color rgb="FF000000"/>
        <rFont val="Noto Sans CJK SC"/>
        <family val="2"/>
      </rPr>
      <t xml:space="preserve">확인</t>
    </r>
  </si>
  <si>
    <r>
      <rPr>
        <sz val="10"/>
        <color rgb="FF000000"/>
        <rFont val="Noto Sans CJK SC"/>
        <family val="2"/>
      </rPr>
      <t xml:space="preserve">날짜 정보 없을 때 물어보기 </t>
    </r>
    <r>
      <rPr>
        <sz val="10"/>
        <color rgb="FF000000"/>
        <rFont val="Arial"/>
        <family val="0"/>
        <charset val="1"/>
      </rPr>
      <t xml:space="preserve">+ 2026 recap </t>
    </r>
    <r>
      <rPr>
        <sz val="10"/>
        <color rgb="FF000000"/>
        <rFont val="Noto Sans CJK SC"/>
        <family val="2"/>
      </rPr>
      <t xml:space="preserve">릴스 계획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</si>
  <si>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시간 정보가 없을 때 언제 찍었는지 물어보면</t>
    </r>
    <r>
      <rPr>
        <sz val="10"/>
        <color rgb="FF000000"/>
        <rFont val="Arial"/>
        <family val="0"/>
        <charset val="1"/>
      </rPr>
      <t xml:space="preserve">?" + "2026 recap </t>
    </r>
    <r>
      <rPr>
        <sz val="10"/>
        <color rgb="FF000000"/>
        <rFont val="Noto Sans CJK SC"/>
        <family val="2"/>
      </rPr>
      <t xml:space="preserve">릴스도 만들 것</t>
    </r>
    <r>
      <rPr>
        <sz val="10"/>
        <color rgb="FF000000"/>
        <rFont val="Arial"/>
        <family val="0"/>
        <charset val="1"/>
      </rPr>
      <t xml:space="preserve">" → 7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36 </t>
    </r>
    <r>
      <rPr>
        <sz val="10"/>
        <color rgb="FF000000"/>
        <rFont val="Noto Sans CJK SC"/>
        <family val="2"/>
      </rPr>
      <t xml:space="preserve">찍은 날짜 묻기</t>
    </r>
    <r>
      <rPr>
        <sz val="10"/>
        <color rgb="FF000000"/>
        <rFont val="Arial"/>
        <family val="0"/>
        <charset val="1"/>
      </rPr>
      <t xml:space="preserve">, 37 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, 38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, 39 </t>
    </r>
    <r>
      <rPr>
        <sz val="10"/>
        <color rgb="FF000000"/>
        <rFont val="Noto Sans CJK SC"/>
        <family val="2"/>
      </rPr>
      <t xml:space="preserve">날짜 범위로 골라 추가</t>
    </r>
  </si>
  <si>
    <t xml:space="preserve">반영</t>
  </si>
  <si>
    <t xml:space="preserve">찍은 날짜 묻기</t>
  </si>
  <si>
    <r>
      <rPr>
        <sz val="10"/>
        <color rgb="FF000000"/>
        <rFont val="Noto Sans CJK SC"/>
        <family val="2"/>
      </rPr>
      <t xml:space="preserve">클립을 추가할 때 촬영 시각 정보가 없어 파일 시각으로 추정한 클립만 모아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 정하기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날짜시간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Noto Sans CJK SC"/>
        <family val="2"/>
      </rPr>
      <t xml:space="preserve">모두 이 날짜로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는 시</t>
    </r>
    <r>
      <rPr>
        <sz val="10"/>
        <color rgb="FF000000"/>
        <rFont val="Arial"/>
        <family val="0"/>
        <charset val="1"/>
      </rPr>
      <t xml:space="preserve">:</t>
    </r>
    <r>
      <rPr>
        <sz val="10"/>
        <color rgb="FF000000"/>
        <rFont val="Noto Sans CJK SC"/>
        <family val="2"/>
      </rPr>
      <t xml:space="preserve">분은 두고 날짜만 바꿔 같은 날 순서 유지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건너뛰기 가능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클립 편집에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추정 시각은 목록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편집 칸에 ⚠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</si>
  <si>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</si>
  <si>
    <t xml:space="preserve">날짜 도장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</si>
  <si>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날짜 도장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필름 카메라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주황 숫자</t>
    </r>
    <r>
      <rPr>
        <sz val="10"/>
        <color rgb="FF000000"/>
        <rFont val="Arial"/>
        <family val="0"/>
        <charset val="1"/>
      </rPr>
      <t xml:space="preserve">, '26 3 14) / </t>
    </r>
    <r>
      <rPr>
        <sz val="10"/>
        <color rgb="FF000000"/>
        <rFont val="Noto Sans CJK SC"/>
        <family val="2"/>
      </rPr>
      <t xml:space="preserve">깔끔한 흰 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형식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네 구석 위치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렌더링과 같은 프레임 단위로 조각마다 그 클립의 찍은 날짜를 넣고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같은 날짜가 이어지면 하나로 합침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모르는 클립은 표시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릴스 가림 영역도 피함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</si>
  <si>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</si>
  <si>
    <t xml:space="preserve">월별 제목 자동</t>
  </si>
  <si>
    <r>
      <rPr>
        <sz val="10"/>
        <color rgb="FF000000"/>
        <rFont val="Noto Sans CJK SC"/>
        <family val="2"/>
      </rPr>
      <t xml:space="preserve">제목 탭 </t>
    </r>
    <r>
      <rPr>
        <sz val="10"/>
        <color rgb="FF000000"/>
        <rFont val="Arial"/>
        <family val="0"/>
        <charset val="1"/>
      </rPr>
      <t xml:space="preserve">"📅 </t>
    </r>
    <r>
      <rPr>
        <sz val="10"/>
        <color rgb="FF000000"/>
        <rFont val="Noto Sans CJK SC"/>
        <family val="2"/>
      </rPr>
      <t xml:space="preserve">월별 제목 자동</t>
    </r>
    <r>
      <rPr>
        <sz val="10"/>
        <color rgb="FF000000"/>
        <rFont val="Arial"/>
        <family val="0"/>
        <charset val="1"/>
      </rPr>
      <t xml:space="preserve">"(JANUARY/JAN/1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/01): </t>
    </r>
    <r>
      <rPr>
        <sz val="10"/>
        <color rgb="FF000000"/>
        <rFont val="Noto Sans CJK SC"/>
        <family val="2"/>
      </rPr>
      <t xml:space="preserve">완성 영상 조각을 따라가며 찍은 날짜의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이 바뀌는 순간에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 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달이 더 빨리 오면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 없는 클립은 건너뜀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기존 제목은 지우고 넣기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같이 두기 선택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개발 중 버튼 기능이 자막 패널에 잘못 붙은 것을 화면 테스트에서 발견해 바로잡음</t>
    </r>
  </si>
  <si>
    <t xml:space="preserve">폴더 추가 때 날짜 범위로 고르기</t>
  </si>
  <si>
    <r>
      <rPr>
        <sz val="10"/>
        <color rgb="FF000000"/>
        <rFont val="Noto Sans CJK SC"/>
        <family val="2"/>
      </rPr>
      <t xml:space="preserve">폴더를 고르면 찾은 개수와 함께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찍은 날짜로 고르기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올해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작년 버튼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창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날짜가 확실한 파일만 범위로 거르고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정보 없는 파일은 넣은 뒤 언제 찍었는지 물어봄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뺀 개수 안내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</si>
  <si>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2025/2027 </t>
    </r>
    <r>
      <rPr>
        <sz val="10"/>
        <color rgb="FF000000"/>
        <rFont val="Noto Sans CJK SC"/>
        <family val="2"/>
      </rPr>
      <t xml:space="preserve">파일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날짜 없는 파일은 질문 확인</t>
    </r>
  </si>
  <si>
    <t xml:space="preserve">클립마다 비트 수 다르게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</si>
  <si>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어떤 영상은 비트 한 번 만에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어떤 영상은 비트 두 번 뒤에 다음 영상으로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요청</t>
    </r>
  </si>
  <si>
    <t xml:space="preserve">클립마다 비트 수 따로</t>
  </si>
  <si>
    <r>
      <rPr>
        <sz val="10"/>
        <color rgb="FF000000"/>
        <rFont val="Noto Sans CJK SC"/>
        <family val="2"/>
      </rPr>
      <t xml:space="preserve">클립 편집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탭 설정</t>
    </r>
    <r>
      <rPr>
        <sz val="10"/>
        <color rgb="FF000000"/>
        <rFont val="Arial"/>
        <family val="0"/>
        <charset val="1"/>
      </rPr>
      <t xml:space="preserve">)/1/2/3/4/8</t>
    </r>
    <r>
      <rPr>
        <sz val="10"/>
        <color rgb="FF000000"/>
        <rFont val="Noto Sans CJK SC"/>
        <family val="2"/>
      </rPr>
      <t xml:space="preserve">비트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순서대로 각자 정한 비트만큼 지나서 다음 컷 — 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무작위 순서도 섞인 순서대로 반영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파일 번갈아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에서 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그 밖의 방식에선 전체 설정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탭에 안내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목록에 ♪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비트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탭 완성 길이 계산에 반영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</si>
  <si>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1+2+4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= 3.5</t>
    </r>
    <r>
      <rPr>
        <sz val="10"/>
        <color rgb="FF000000"/>
        <rFont val="Noto Sans CJK SC"/>
        <family val="2"/>
      </rPr>
      <t xml:space="preserve">초 확인</t>
    </r>
  </si>
  <si>
    <r>
      <rPr>
        <sz val="10"/>
        <color rgb="FF000000"/>
        <rFont val="Noto Sans CJK SC"/>
        <family val="2"/>
      </rPr>
      <t xml:space="preserve">유튜브 좋아요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그해 들은 노래 목록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</si>
  <si>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유튜브 연결해서 좋아요한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해당 연도에 들은 노래 리스트</t>
    </r>
    <r>
      <rPr>
        <sz val="10"/>
        <color rgb="FF000000"/>
        <rFont val="Arial"/>
        <family val="0"/>
        <charset val="1"/>
      </rPr>
      <t xml:space="preserve">" → </t>
    </r>
    <r>
      <rPr>
        <sz val="10"/>
        <color rgb="FF000000"/>
        <rFont val="Noto Sans CJK SC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는 시청 기록을 주지 않아 구글 테이크아웃 시청 기록으로 만들기로 함</t>
    </r>
    <r>
      <rPr>
        <sz val="10"/>
        <color rgb="FF000000"/>
        <rFont val="Arial"/>
        <family val="0"/>
        <charset val="1"/>
      </rPr>
      <t xml:space="preserve">. "</t>
    </r>
    <r>
      <rPr>
        <sz val="10"/>
        <color rgb="FF000000"/>
        <rFont val="Noto Sans CJK SC"/>
        <family val="2"/>
      </rPr>
      <t xml:space="preserve">테이크아웃 하는 법도 옆에 적어 놔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요청</t>
    </r>
  </si>
  <si>
    <r>
      <rPr>
        <sz val="10"/>
        <color rgb="FF000000"/>
        <rFont val="Noto Sans CJK SC"/>
        <family val="2"/>
      </rPr>
      <t xml:space="preserve">내가 들은 노래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테이크아웃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</si>
  <si>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"📊 </t>
    </r>
    <r>
      <rPr>
        <sz val="10"/>
        <color rgb="FF000000"/>
        <rFont val="Noto Sans CJK SC"/>
        <family val="2"/>
      </rPr>
      <t xml:space="preserve">내가 들은 노래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테이크아웃 </t>
    </r>
    <r>
      <rPr>
        <sz val="10"/>
        <color rgb="FF000000"/>
        <rFont val="Arial"/>
        <family val="0"/>
        <charset val="1"/>
      </rPr>
      <t xml:space="preserve">zip </t>
    </r>
    <r>
      <rPr>
        <sz val="10"/>
        <color rgb="FF000000"/>
        <rFont val="Noto Sans CJK SC"/>
        <family val="2"/>
      </rPr>
      <t xml:space="preserve">또는 시청 기록 </t>
    </r>
    <r>
      <rPr>
        <sz val="10"/>
        <color rgb="FF000000"/>
        <rFont val="Arial"/>
        <family val="0"/>
        <charset val="1"/>
      </rPr>
      <t xml:space="preserve">JSON</t>
    </r>
    <r>
      <rPr>
        <sz val="10"/>
        <color rgb="FF000000"/>
        <rFont val="Noto Sans CJK SC"/>
        <family val="2"/>
      </rPr>
      <t xml:space="preserve">을 열면 연도별 많이 들은 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재생 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같으면 최근 순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목록</t>
    </r>
    <r>
      <rPr>
        <sz val="10"/>
        <color rgb="FF000000"/>
        <rFont val="Arial"/>
        <family val="0"/>
        <charset val="1"/>
      </rPr>
      <t xml:space="preserve">. YouTube Music </t>
    </r>
    <r>
      <rPr>
        <sz val="10"/>
        <color rgb="FF000000"/>
        <rFont val="Noto Sans CJK SC"/>
        <family val="2"/>
      </rPr>
      <t xml:space="preserve">기록 기본</t>
    </r>
    <r>
      <rPr>
        <sz val="10"/>
        <color rgb="FF000000"/>
        <rFont val="Arial"/>
        <family val="0"/>
        <charset val="1"/>
      </rPr>
      <t xml:space="preserve">, "YouTube</t>
    </r>
    <r>
      <rPr>
        <sz val="10"/>
        <color rgb="FF000000"/>
        <rFont val="Noto Sans CJK SC"/>
        <family val="2"/>
      </rPr>
      <t xml:space="preserve">에서 본 뮤직비디오도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공식 </t>
    </r>
    <r>
      <rPr>
        <sz val="10"/>
        <color rgb="FF000000"/>
        <rFont val="Arial"/>
        <family val="0"/>
        <charset val="1"/>
      </rPr>
      <t xml:space="preserve">MV·- </t>
    </r>
    <r>
      <rPr>
        <sz val="10"/>
        <color rgb="FF000000"/>
        <rFont val="Noto Sans CJK SC"/>
        <family val="2"/>
      </rPr>
      <t xml:space="preserve">주제 채널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광고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삭제된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검색 기록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한국어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영어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일본어 제목 문구 정리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찾기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유튜브에서 듣기</t>
    </r>
    <r>
      <rPr>
        <sz val="10"/>
        <color rgb="FF000000"/>
        <rFont val="Arial"/>
        <family val="0"/>
        <charset val="1"/>
      </rPr>
      <t xml:space="preserve">, CSV </t>
    </r>
    <r>
      <rPr>
        <sz val="10"/>
        <color rgb="FF000000"/>
        <rFont val="Noto Sans CJK SC"/>
        <family val="2"/>
      </rPr>
      <t xml:space="preserve">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고르면 </t>
    </r>
    <r>
      <rPr>
        <sz val="10"/>
        <color rgb="FF000000"/>
        <rFont val="Arial"/>
        <family val="0"/>
        <charset val="1"/>
      </rPr>
      <t xml:space="preserve">mp3 </t>
    </r>
    <r>
      <rPr>
        <sz val="10"/>
        <color rgb="FF000000"/>
        <rFont val="Noto Sans CJK SC"/>
        <family val="2"/>
      </rPr>
      <t xml:space="preserve">받기→음악 등록 흐름으로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창 오른쪽에 테이크아웃 받는 법</t>
    </r>
    <r>
      <rPr>
        <sz val="10"/>
        <color rgb="FF000000"/>
        <rFont val="Arial"/>
        <family val="0"/>
        <charset val="1"/>
      </rPr>
      <t xml:space="preserve">(HTML </t>
    </r>
    <r>
      <rPr>
        <sz val="10"/>
        <color rgb="FF000000"/>
        <rFont val="Noto Sans CJK SC"/>
        <family val="2"/>
      </rPr>
      <t xml:space="preserve">아닌 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고르기 강조</t>
    </r>
    <r>
      <rPr>
        <sz val="10"/>
        <color rgb="FF000000"/>
        <rFont val="Arial"/>
        <family val="0"/>
        <charset val="1"/>
      </rPr>
      <t xml:space="preserve">). HTML</t>
    </r>
    <r>
      <rPr>
        <sz val="10"/>
        <color rgb="FF000000"/>
        <rFont val="Noto Sans CJK SC"/>
        <family val="2"/>
      </rPr>
      <t xml:space="preserve">로 받았으면 </t>
    </r>
    <r>
      <rPr>
        <sz val="10"/>
        <color rgb="FF000000"/>
        <rFont val="Arial"/>
        <family val="0"/>
        <charset val="1"/>
      </rPr>
      <t xml:space="preserve">JSON</t>
    </r>
    <r>
      <rPr>
        <sz val="10"/>
        <color rgb="FF000000"/>
        <rFont val="Noto Sans CJK SC"/>
        <family val="2"/>
      </rPr>
      <t xml:space="preserve">으로 다시 받으라고 안내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</si>
  <si>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가짜 기록 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개로 화면 테스트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</si>
  <si>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</si>
  <si>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</si>
  <si>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</si>
  <si>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</si>
  <si>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</si>
  <si>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</si>
  <si>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</si>
  <si>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</si>
  <si>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</si>
  <si>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</si>
  <si>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</si>
  <si>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</si>
  <si>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</si>
  <si>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</si>
  <si>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</si>
  <si>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</si>
  <si>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</si>
  <si>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</si>
  <si>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</si>
  <si>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</si>
  <si>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</si>
  <si>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</si>
  <si>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</si>
  <si>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</si>
  <si>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</si>
  <si>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</si>
  <si>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</si>
  <si>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</si>
  <si>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</si>
  <si>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</si>
  <si>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</si>
  <si>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템플릿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</si>
  <si>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t xml:space="preserve">음악 없이 내보내기 테스트 추가</t>
  </si>
  <si>
    <t xml:space="preserve">찍은 시각 출처 검사 추가</t>
  </si>
  <si>
    <t xml:space="preserve">날짜 도장 테스트 추가</t>
  </si>
  <si>
    <t xml:space="preserve">월별 제목 테스트 추가</t>
  </si>
  <si>
    <t xml:space="preserve">화면 테스트로 날짜 범위 확인</t>
  </si>
  <si>
    <t xml:space="preserve">클립별 비트 수 테스트 추가</t>
  </si>
  <si>
    <r>
      <rPr>
        <sz val="10"/>
        <color rgb="FF000000"/>
        <rFont val="Noto Sans CJK SC"/>
        <family val="2"/>
      </rPr>
      <t xml:space="preserve">테이크아웃 기록 테스트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</si>
</sst>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66" headerRowCount="1" totalsRowCount="0" totalsRowShown="0">
  <autoFilter ref="A1:F66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42" headerRowCount="1" totalsRowCount="0" totalsRowShown="0">
  <autoFilter ref="A1:F42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37" headerRowCount="1" totalsRowCount="0" totalsRowShown="0">
  <autoFilter ref="A1:E37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COUNTA(로드맵!B2:B42)</f>
        <v>41</v>
      </c>
    </row>
    <row r="4" customFormat="false" ht="15" hidden="false" customHeight="false" outlineLevel="0" collapsed="false">
      <c r="A4" s="3" t="s">
        <v>2</v>
      </c>
      <c r="B4" s="2" t="n">
        <f aca="false">COUNTIF(로드맵!E2:E42,"완료")</f>
        <v>39</v>
      </c>
    </row>
    <row r="5" customFormat="false" ht="15" hidden="false" customHeight="false" outlineLevel="0" collapsed="false">
      <c r="A5" s="3" t="s">
        <v>3</v>
      </c>
      <c r="B5" s="2" t="n">
        <f aca="false">COUNTIF(로드맵!E2:E42,"진행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COUNTIF(로드맵!E2:E42,"대기")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0.951219512195122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기록'!C2:C66)</f>
        <v>65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기록'!B2:B66,"사용자 제보")</f>
        <v>7</v>
      </c>
    </row>
    <row r="11" customFormat="false" ht="15" hidden="false" customHeight="false" outlineLevel="0" collapsed="false">
      <c r="A11" s="3" t="s">
        <v>8</v>
      </c>
      <c r="B11" s="2" t="n">
        <f aca="false">INDEX(테스트!B2:B37,36)</f>
        <v>112</v>
      </c>
    </row>
    <row r="12" customFormat="false" ht="15" hidden="false" customHeight="false" outlineLevel="0" collapsed="false">
      <c r="A12" s="3" t="s">
        <v>9</v>
      </c>
      <c r="B12" s="2" t="n">
        <f aca="false">INDEX(테스트!C2:C37,36)</f>
        <v>112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2</v>
      </c>
      <c r="F35" s="8" t="s">
        <v>28</v>
      </c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2</v>
      </c>
      <c r="F36" s="8" t="s">
        <v>28</v>
      </c>
    </row>
    <row r="37" customFormat="false" ht="29.85" hidden="false" customHeight="false" outlineLevel="0" collapsed="false">
      <c r="A37" s="8" t="n">
        <v>36</v>
      </c>
      <c r="B37" s="9" t="s">
        <v>100</v>
      </c>
      <c r="C37" s="9" t="s">
        <v>52</v>
      </c>
      <c r="D37" s="9" t="s">
        <v>101</v>
      </c>
      <c r="E37" s="9" t="s">
        <v>2</v>
      </c>
      <c r="F37" s="8" t="s">
        <v>28</v>
      </c>
    </row>
    <row r="38" customFormat="false" ht="15" hidden="false" customHeight="false" outlineLevel="0" collapsed="false">
      <c r="A38" s="8" t="n">
        <v>37</v>
      </c>
      <c r="B38" s="9" t="s">
        <v>102</v>
      </c>
      <c r="C38" s="9" t="s">
        <v>39</v>
      </c>
      <c r="D38" s="8" t="s">
        <v>103</v>
      </c>
      <c r="E38" s="9" t="s">
        <v>2</v>
      </c>
      <c r="F38" s="8" t="s">
        <v>28</v>
      </c>
    </row>
    <row r="39" customFormat="false" ht="15" hidden="false" customHeight="false" outlineLevel="0" collapsed="false">
      <c r="A39" s="8" t="n">
        <v>38</v>
      </c>
      <c r="B39" s="9" t="s">
        <v>104</v>
      </c>
      <c r="C39" s="9" t="s">
        <v>26</v>
      </c>
      <c r="D39" s="8" t="s">
        <v>105</v>
      </c>
      <c r="E39" s="9" t="s">
        <v>2</v>
      </c>
      <c r="F39" s="8" t="s">
        <v>28</v>
      </c>
    </row>
    <row r="40" customFormat="false" ht="15" hidden="false" customHeight="false" outlineLevel="0" collapsed="false">
      <c r="A40" s="8" t="n">
        <v>39</v>
      </c>
      <c r="B40" s="9" t="s">
        <v>106</v>
      </c>
      <c r="C40" s="9" t="s">
        <v>26</v>
      </c>
      <c r="D40" s="9" t="s">
        <v>107</v>
      </c>
      <c r="E40" s="9" t="s">
        <v>2</v>
      </c>
      <c r="F40" s="8" t="s">
        <v>28</v>
      </c>
    </row>
    <row r="41" customFormat="false" ht="15" hidden="false" customHeight="false" outlineLevel="0" collapsed="false">
      <c r="A41" s="8" t="n">
        <v>40</v>
      </c>
      <c r="B41" s="9" t="s">
        <v>108</v>
      </c>
      <c r="C41" s="9" t="s">
        <v>52</v>
      </c>
      <c r="D41" s="9" t="s">
        <v>109</v>
      </c>
      <c r="E41" s="9" t="s">
        <v>2</v>
      </c>
      <c r="F41" s="8" t="s">
        <v>28</v>
      </c>
    </row>
    <row r="42" customFormat="false" ht="15" hidden="false" customHeight="false" outlineLevel="0" collapsed="false">
      <c r="A42" s="8" t="n">
        <v>41</v>
      </c>
      <c r="B42" s="9" t="s">
        <v>110</v>
      </c>
      <c r="C42" s="9" t="s">
        <v>52</v>
      </c>
      <c r="D42" s="9" t="s">
        <v>111</v>
      </c>
      <c r="E42" s="9" t="s">
        <v>2</v>
      </c>
      <c r="F42" s="8" t="s">
        <v>112</v>
      </c>
    </row>
  </sheetData>
  <conditionalFormatting sqref="E2:E42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113</v>
      </c>
      <c r="B1" s="7" t="s">
        <v>114</v>
      </c>
      <c r="C1" s="7" t="s">
        <v>20</v>
      </c>
      <c r="D1" s="7" t="s">
        <v>115</v>
      </c>
      <c r="E1" s="7" t="s">
        <v>116</v>
      </c>
      <c r="F1" s="7" t="s">
        <v>117</v>
      </c>
    </row>
    <row r="2" customFormat="false" ht="15" hidden="false" customHeight="false" outlineLevel="0" collapsed="false">
      <c r="A2" s="8" t="s">
        <v>118</v>
      </c>
      <c r="B2" s="9" t="s">
        <v>119</v>
      </c>
      <c r="C2" s="9" t="s">
        <v>120</v>
      </c>
      <c r="D2" s="9" t="s">
        <v>121</v>
      </c>
      <c r="E2" s="9" t="s">
        <v>2</v>
      </c>
      <c r="F2" s="8" t="s">
        <v>122</v>
      </c>
    </row>
    <row r="3" customFormat="false" ht="29.85" hidden="false" customHeight="false" outlineLevel="0" collapsed="false">
      <c r="A3" s="8" t="s">
        <v>118</v>
      </c>
      <c r="B3" s="9" t="s">
        <v>119</v>
      </c>
      <c r="C3" s="9" t="s">
        <v>123</v>
      </c>
      <c r="D3" s="8" t="s">
        <v>124</v>
      </c>
      <c r="E3" s="9" t="s">
        <v>2</v>
      </c>
      <c r="F3" s="8" t="s">
        <v>125</v>
      </c>
    </row>
    <row r="4" customFormat="false" ht="15" hidden="false" customHeight="false" outlineLevel="0" collapsed="false">
      <c r="A4" s="8" t="s">
        <v>118</v>
      </c>
      <c r="B4" s="9" t="s">
        <v>126</v>
      </c>
      <c r="C4" s="8" t="s">
        <v>127</v>
      </c>
      <c r="D4" s="8" t="s">
        <v>128</v>
      </c>
      <c r="E4" s="9" t="s">
        <v>129</v>
      </c>
      <c r="F4" s="8" t="s">
        <v>125</v>
      </c>
    </row>
    <row r="5" customFormat="false" ht="15" hidden="false" customHeight="false" outlineLevel="0" collapsed="false">
      <c r="A5" s="8" t="s">
        <v>118</v>
      </c>
      <c r="B5" s="9" t="s">
        <v>119</v>
      </c>
      <c r="C5" s="9" t="s">
        <v>130</v>
      </c>
      <c r="D5" s="9" t="s">
        <v>131</v>
      </c>
      <c r="E5" s="9" t="s">
        <v>2</v>
      </c>
      <c r="F5" s="8" t="s">
        <v>132</v>
      </c>
    </row>
    <row r="6" customFormat="false" ht="15" hidden="false" customHeight="false" outlineLevel="0" collapsed="false">
      <c r="A6" s="8" t="s">
        <v>118</v>
      </c>
      <c r="B6" s="9" t="s">
        <v>119</v>
      </c>
      <c r="C6" s="9" t="s">
        <v>133</v>
      </c>
      <c r="D6" s="8" t="s">
        <v>134</v>
      </c>
      <c r="E6" s="9" t="s">
        <v>2</v>
      </c>
      <c r="F6" s="8" t="s">
        <v>135</v>
      </c>
    </row>
    <row r="7" customFormat="false" ht="29.85" hidden="false" customHeight="false" outlineLevel="0" collapsed="false">
      <c r="A7" s="8" t="s">
        <v>118</v>
      </c>
      <c r="B7" s="9" t="s">
        <v>136</v>
      </c>
      <c r="C7" s="9" t="s">
        <v>137</v>
      </c>
      <c r="D7" s="9" t="s">
        <v>138</v>
      </c>
      <c r="E7" s="9" t="s">
        <v>126</v>
      </c>
      <c r="F7" s="8" t="s">
        <v>139</v>
      </c>
    </row>
    <row r="8" customFormat="false" ht="29.85" hidden="false" customHeight="false" outlineLevel="0" collapsed="false">
      <c r="A8" s="8" t="s">
        <v>118</v>
      </c>
      <c r="B8" s="9" t="s">
        <v>136</v>
      </c>
      <c r="C8" s="9" t="s">
        <v>140</v>
      </c>
      <c r="D8" s="9" t="s">
        <v>141</v>
      </c>
      <c r="E8" s="9" t="s">
        <v>126</v>
      </c>
      <c r="F8" s="8" t="s">
        <v>142</v>
      </c>
    </row>
    <row r="9" customFormat="false" ht="29.85" hidden="false" customHeight="false" outlineLevel="0" collapsed="false">
      <c r="A9" s="8" t="s">
        <v>118</v>
      </c>
      <c r="B9" s="9" t="s">
        <v>136</v>
      </c>
      <c r="C9" s="9" t="s">
        <v>143</v>
      </c>
      <c r="D9" s="9" t="s">
        <v>144</v>
      </c>
      <c r="E9" s="9" t="s">
        <v>145</v>
      </c>
      <c r="F9" s="8" t="s">
        <v>146</v>
      </c>
    </row>
    <row r="10" customFormat="false" ht="29.85" hidden="false" customHeight="false" outlineLevel="0" collapsed="false">
      <c r="A10" s="8" t="s">
        <v>28</v>
      </c>
      <c r="B10" s="9" t="s">
        <v>147</v>
      </c>
      <c r="C10" s="9" t="s">
        <v>148</v>
      </c>
      <c r="D10" s="9" t="s">
        <v>149</v>
      </c>
      <c r="E10" s="9" t="s">
        <v>150</v>
      </c>
      <c r="F10" s="8"/>
    </row>
    <row r="11" customFormat="false" ht="29.85" hidden="false" customHeight="false" outlineLevel="0" collapsed="false">
      <c r="A11" s="8" t="s">
        <v>28</v>
      </c>
      <c r="B11" s="9" t="s">
        <v>119</v>
      </c>
      <c r="C11" s="8" t="s">
        <v>151</v>
      </c>
      <c r="D11" s="9" t="s">
        <v>152</v>
      </c>
      <c r="E11" s="9" t="s">
        <v>153</v>
      </c>
      <c r="F11" s="8" t="s">
        <v>154</v>
      </c>
    </row>
    <row r="12" customFormat="false" ht="29.85" hidden="false" customHeight="false" outlineLevel="0" collapsed="false">
      <c r="A12" s="8" t="s">
        <v>28</v>
      </c>
      <c r="B12" s="9" t="s">
        <v>119</v>
      </c>
      <c r="C12" s="8" t="s">
        <v>155</v>
      </c>
      <c r="D12" s="9" t="s">
        <v>156</v>
      </c>
      <c r="E12" s="9" t="s">
        <v>2</v>
      </c>
      <c r="F12" s="8" t="s">
        <v>157</v>
      </c>
    </row>
    <row r="13" customFormat="false" ht="29.85" hidden="false" customHeight="false" outlineLevel="0" collapsed="false">
      <c r="A13" s="8" t="s">
        <v>28</v>
      </c>
      <c r="B13" s="9" t="s">
        <v>126</v>
      </c>
      <c r="C13" s="8" t="s">
        <v>158</v>
      </c>
      <c r="D13" s="9" t="s">
        <v>159</v>
      </c>
      <c r="E13" s="9" t="s">
        <v>2</v>
      </c>
      <c r="F13" s="8" t="s">
        <v>160</v>
      </c>
    </row>
    <row r="14" customFormat="false" ht="29.85" hidden="false" customHeight="false" outlineLevel="0" collapsed="false">
      <c r="A14" s="8" t="s">
        <v>28</v>
      </c>
      <c r="B14" s="9" t="s">
        <v>119</v>
      </c>
      <c r="C14" s="8" t="s">
        <v>161</v>
      </c>
      <c r="D14" s="9" t="s">
        <v>162</v>
      </c>
      <c r="E14" s="9" t="s">
        <v>2</v>
      </c>
      <c r="F14" s="8" t="s">
        <v>160</v>
      </c>
    </row>
    <row r="15" customFormat="false" ht="29.85" hidden="false" customHeight="false" outlineLevel="0" collapsed="false">
      <c r="A15" s="8" t="s">
        <v>28</v>
      </c>
      <c r="B15" s="9" t="s">
        <v>147</v>
      </c>
      <c r="C15" s="8" t="s">
        <v>163</v>
      </c>
      <c r="D15" s="9" t="s">
        <v>164</v>
      </c>
      <c r="E15" s="9" t="s">
        <v>165</v>
      </c>
      <c r="F15" s="8"/>
    </row>
    <row r="16" customFormat="false" ht="29.85" hidden="false" customHeight="false" outlineLevel="0" collapsed="false">
      <c r="A16" s="8" t="s">
        <v>28</v>
      </c>
      <c r="B16" s="9" t="s">
        <v>119</v>
      </c>
      <c r="C16" s="9" t="s">
        <v>166</v>
      </c>
      <c r="D16" s="8" t="s">
        <v>167</v>
      </c>
      <c r="E16" s="9" t="s">
        <v>2</v>
      </c>
      <c r="F16" s="8" t="s">
        <v>160</v>
      </c>
    </row>
    <row r="17" customFormat="false" ht="29.85" hidden="false" customHeight="false" outlineLevel="0" collapsed="false">
      <c r="A17" s="8" t="s">
        <v>28</v>
      </c>
      <c r="B17" s="9" t="s">
        <v>119</v>
      </c>
      <c r="C17" s="8" t="s">
        <v>168</v>
      </c>
      <c r="D17" s="9" t="s">
        <v>169</v>
      </c>
      <c r="E17" s="9" t="s">
        <v>2</v>
      </c>
      <c r="F17" s="8" t="s">
        <v>170</v>
      </c>
    </row>
    <row r="18" customFormat="false" ht="29.85" hidden="false" customHeight="false" outlineLevel="0" collapsed="false">
      <c r="A18" s="8" t="s">
        <v>28</v>
      </c>
      <c r="B18" s="9" t="s">
        <v>119</v>
      </c>
      <c r="C18" s="8" t="s">
        <v>171</v>
      </c>
      <c r="D18" s="9" t="s">
        <v>172</v>
      </c>
      <c r="E18" s="9" t="s">
        <v>2</v>
      </c>
      <c r="F18" s="8" t="s">
        <v>173</v>
      </c>
    </row>
    <row r="19" customFormat="false" ht="29.85" hidden="false" customHeight="false" outlineLevel="0" collapsed="false">
      <c r="A19" s="8" t="s">
        <v>28</v>
      </c>
      <c r="B19" s="9" t="s">
        <v>119</v>
      </c>
      <c r="C19" s="8" t="s">
        <v>174</v>
      </c>
      <c r="D19" s="9" t="s">
        <v>175</v>
      </c>
      <c r="E19" s="9" t="s">
        <v>2</v>
      </c>
      <c r="F19" s="8" t="s">
        <v>176</v>
      </c>
    </row>
    <row r="20" customFormat="false" ht="29.85" hidden="false" customHeight="false" outlineLevel="0" collapsed="false">
      <c r="A20" s="8" t="s">
        <v>28</v>
      </c>
      <c r="B20" s="9" t="s">
        <v>119</v>
      </c>
      <c r="C20" s="8" t="s">
        <v>177</v>
      </c>
      <c r="D20" s="9" t="s">
        <v>178</v>
      </c>
      <c r="E20" s="9" t="s">
        <v>2</v>
      </c>
      <c r="F20" s="8" t="s">
        <v>179</v>
      </c>
    </row>
    <row r="21" customFormat="false" ht="29.85" hidden="false" customHeight="false" outlineLevel="0" collapsed="false">
      <c r="A21" s="8" t="s">
        <v>28</v>
      </c>
      <c r="B21" s="9" t="s">
        <v>119</v>
      </c>
      <c r="C21" s="8" t="s">
        <v>180</v>
      </c>
      <c r="D21" s="9" t="s">
        <v>181</v>
      </c>
      <c r="E21" s="9" t="s">
        <v>2</v>
      </c>
      <c r="F21" s="8" t="s">
        <v>182</v>
      </c>
    </row>
    <row r="22" customFormat="false" ht="58.2" hidden="false" customHeight="false" outlineLevel="0" collapsed="false">
      <c r="A22" s="8" t="s">
        <v>28</v>
      </c>
      <c r="B22" s="9" t="s">
        <v>183</v>
      </c>
      <c r="C22" s="9" t="s">
        <v>184</v>
      </c>
      <c r="D22" s="9" t="s">
        <v>185</v>
      </c>
      <c r="E22" s="9" t="s">
        <v>126</v>
      </c>
      <c r="F22" s="8" t="s">
        <v>182</v>
      </c>
    </row>
    <row r="23" customFormat="false" ht="44" hidden="false" customHeight="false" outlineLevel="0" collapsed="false">
      <c r="A23" s="8" t="s">
        <v>28</v>
      </c>
      <c r="B23" s="9" t="s">
        <v>119</v>
      </c>
      <c r="C23" s="8" t="s">
        <v>186</v>
      </c>
      <c r="D23" s="8" t="s">
        <v>187</v>
      </c>
      <c r="E23" s="9" t="s">
        <v>2</v>
      </c>
      <c r="F23" s="8" t="s">
        <v>188</v>
      </c>
    </row>
    <row r="24" customFormat="false" ht="29.85" hidden="false" customHeight="false" outlineLevel="0" collapsed="false">
      <c r="A24" s="8" t="s">
        <v>28</v>
      </c>
      <c r="B24" s="9" t="s">
        <v>189</v>
      </c>
      <c r="C24" s="8" t="s">
        <v>190</v>
      </c>
      <c r="D24" s="9" t="s">
        <v>191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119</v>
      </c>
      <c r="C25" s="8" t="s">
        <v>192</v>
      </c>
      <c r="D25" s="9" t="s">
        <v>193</v>
      </c>
      <c r="E25" s="9" t="s">
        <v>2</v>
      </c>
      <c r="F25" s="8" t="s">
        <v>194</v>
      </c>
    </row>
    <row r="26" customFormat="false" ht="44" hidden="false" customHeight="false" outlineLevel="0" collapsed="false">
      <c r="A26" s="8" t="s">
        <v>28</v>
      </c>
      <c r="B26" s="9" t="s">
        <v>119</v>
      </c>
      <c r="C26" s="8" t="s">
        <v>195</v>
      </c>
      <c r="D26" s="9" t="s">
        <v>196</v>
      </c>
      <c r="E26" s="9" t="s">
        <v>2</v>
      </c>
      <c r="F26" s="8" t="s">
        <v>197</v>
      </c>
    </row>
    <row r="27" customFormat="false" ht="29.85" hidden="false" customHeight="false" outlineLevel="0" collapsed="false">
      <c r="A27" s="8" t="s">
        <v>28</v>
      </c>
      <c r="B27" s="9" t="s">
        <v>119</v>
      </c>
      <c r="C27" s="8" t="s">
        <v>198</v>
      </c>
      <c r="D27" s="9" t="s">
        <v>199</v>
      </c>
      <c r="E27" s="9" t="s">
        <v>2</v>
      </c>
      <c r="F27" s="8" t="s">
        <v>200</v>
      </c>
    </row>
    <row r="28" customFormat="false" ht="58.2" hidden="false" customHeight="false" outlineLevel="0" collapsed="false">
      <c r="A28" s="8" t="s">
        <v>28</v>
      </c>
      <c r="B28" s="9" t="s">
        <v>119</v>
      </c>
      <c r="C28" s="8" t="s">
        <v>201</v>
      </c>
      <c r="D28" s="9" t="s">
        <v>202</v>
      </c>
      <c r="E28" s="9" t="s">
        <v>203</v>
      </c>
      <c r="F28" s="8" t="s">
        <v>204</v>
      </c>
    </row>
    <row r="29" customFormat="false" ht="44" hidden="false" customHeight="false" outlineLevel="0" collapsed="false">
      <c r="A29" s="8" t="s">
        <v>28</v>
      </c>
      <c r="B29" s="9" t="s">
        <v>119</v>
      </c>
      <c r="C29" s="8" t="s">
        <v>205</v>
      </c>
      <c r="D29" s="9" t="s">
        <v>206</v>
      </c>
      <c r="E29" s="9" t="s">
        <v>2</v>
      </c>
      <c r="F29" s="8" t="s">
        <v>207</v>
      </c>
    </row>
    <row r="30" customFormat="false" ht="29.85" hidden="false" customHeight="false" outlineLevel="0" collapsed="false">
      <c r="A30" s="8" t="s">
        <v>28</v>
      </c>
      <c r="B30" s="9" t="s">
        <v>189</v>
      </c>
      <c r="C30" s="8" t="s">
        <v>208</v>
      </c>
      <c r="D30" s="9" t="s">
        <v>209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119</v>
      </c>
      <c r="C31" s="8" t="s">
        <v>210</v>
      </c>
      <c r="D31" s="9" t="s">
        <v>211</v>
      </c>
      <c r="E31" s="9" t="s">
        <v>2</v>
      </c>
      <c r="F31" s="8" t="s">
        <v>212</v>
      </c>
    </row>
    <row r="32" customFormat="false" ht="58.2" hidden="false" customHeight="false" outlineLevel="0" collapsed="false">
      <c r="A32" s="8" t="s">
        <v>28</v>
      </c>
      <c r="B32" s="9" t="s">
        <v>119</v>
      </c>
      <c r="C32" s="8" t="s">
        <v>213</v>
      </c>
      <c r="D32" s="9" t="s">
        <v>214</v>
      </c>
      <c r="E32" s="9" t="s">
        <v>2</v>
      </c>
      <c r="F32" s="8" t="s">
        <v>215</v>
      </c>
    </row>
    <row r="33" customFormat="false" ht="44" hidden="false" customHeight="false" outlineLevel="0" collapsed="false">
      <c r="A33" s="8" t="s">
        <v>28</v>
      </c>
      <c r="B33" s="9" t="s">
        <v>183</v>
      </c>
      <c r="C33" s="8" t="s">
        <v>216</v>
      </c>
      <c r="D33" s="9" t="s">
        <v>217</v>
      </c>
      <c r="E33" s="9" t="s">
        <v>126</v>
      </c>
      <c r="F33" s="8" t="s">
        <v>215</v>
      </c>
    </row>
    <row r="34" customFormat="false" ht="29.85" hidden="false" customHeight="false" outlineLevel="0" collapsed="false">
      <c r="A34" s="8" t="s">
        <v>28</v>
      </c>
      <c r="B34" s="9" t="s">
        <v>189</v>
      </c>
      <c r="C34" s="8" t="s">
        <v>218</v>
      </c>
      <c r="D34" s="8" t="s">
        <v>219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119</v>
      </c>
      <c r="C35" s="8" t="s">
        <v>220</v>
      </c>
      <c r="D35" s="8" t="s">
        <v>221</v>
      </c>
      <c r="E35" s="9" t="s">
        <v>2</v>
      </c>
      <c r="F35" s="8" t="s">
        <v>222</v>
      </c>
    </row>
    <row r="36" customFormat="false" ht="29.85" hidden="false" customHeight="false" outlineLevel="0" collapsed="false">
      <c r="A36" s="8" t="s">
        <v>28</v>
      </c>
      <c r="B36" s="9" t="s">
        <v>136</v>
      </c>
      <c r="C36" s="9" t="s">
        <v>223</v>
      </c>
      <c r="D36" s="8" t="s">
        <v>224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119</v>
      </c>
      <c r="C37" s="9" t="s">
        <v>225</v>
      </c>
      <c r="D37" s="9" t="s">
        <v>226</v>
      </c>
      <c r="E37" s="9" t="s">
        <v>227</v>
      </c>
      <c r="F37" s="8" t="s">
        <v>228</v>
      </c>
    </row>
    <row r="38" customFormat="false" ht="44" hidden="false" customHeight="false" outlineLevel="0" collapsed="false">
      <c r="A38" s="8" t="s">
        <v>28</v>
      </c>
      <c r="B38" s="9" t="s">
        <v>119</v>
      </c>
      <c r="C38" s="9" t="s">
        <v>229</v>
      </c>
      <c r="D38" s="9" t="s">
        <v>230</v>
      </c>
      <c r="E38" s="9" t="s">
        <v>231</v>
      </c>
      <c r="F38" s="8"/>
    </row>
    <row r="39" customFormat="false" ht="29.85" hidden="false" customHeight="false" outlineLevel="0" collapsed="false">
      <c r="A39" s="8" t="s">
        <v>28</v>
      </c>
      <c r="B39" s="9" t="s">
        <v>232</v>
      </c>
      <c r="C39" s="9" t="s">
        <v>233</v>
      </c>
      <c r="D39" s="9" t="s">
        <v>234</v>
      </c>
      <c r="E39" s="9" t="s">
        <v>126</v>
      </c>
      <c r="F39" s="8"/>
    </row>
    <row r="40" customFormat="false" ht="44" hidden="false" customHeight="false" outlineLevel="0" collapsed="false">
      <c r="A40" s="8" t="s">
        <v>28</v>
      </c>
      <c r="B40" s="9" t="s">
        <v>147</v>
      </c>
      <c r="C40" s="9" t="s">
        <v>235</v>
      </c>
      <c r="D40" s="8" t="s">
        <v>236</v>
      </c>
      <c r="E40" s="9" t="s">
        <v>237</v>
      </c>
      <c r="F40" s="8"/>
    </row>
    <row r="41" customFormat="false" ht="44" hidden="false" customHeight="false" outlineLevel="0" collapsed="false">
      <c r="A41" s="8" t="s">
        <v>28</v>
      </c>
      <c r="B41" s="9" t="s">
        <v>119</v>
      </c>
      <c r="C41" s="9" t="s">
        <v>238</v>
      </c>
      <c r="D41" s="9" t="s">
        <v>239</v>
      </c>
      <c r="E41" s="9" t="s">
        <v>240</v>
      </c>
      <c r="F41" s="8"/>
    </row>
    <row r="42" customFormat="false" ht="58.2" hidden="false" customHeight="false" outlineLevel="0" collapsed="false">
      <c r="A42" s="8" t="s">
        <v>28</v>
      </c>
      <c r="B42" s="9" t="s">
        <v>119</v>
      </c>
      <c r="C42" s="9" t="s">
        <v>241</v>
      </c>
      <c r="D42" s="9" t="s">
        <v>242</v>
      </c>
      <c r="E42" s="9" t="s">
        <v>243</v>
      </c>
      <c r="F42" s="8"/>
    </row>
    <row r="43" customFormat="false" ht="58.2" hidden="false" customHeight="false" outlineLevel="0" collapsed="false">
      <c r="A43" s="8" t="s">
        <v>28</v>
      </c>
      <c r="B43" s="9" t="s">
        <v>119</v>
      </c>
      <c r="C43" s="9" t="s">
        <v>244</v>
      </c>
      <c r="D43" s="9" t="s">
        <v>245</v>
      </c>
      <c r="E43" s="9" t="s">
        <v>246</v>
      </c>
      <c r="F43" s="8"/>
    </row>
    <row r="44" customFormat="false" ht="29.85" hidden="false" customHeight="false" outlineLevel="0" collapsed="false">
      <c r="A44" s="8" t="s">
        <v>28</v>
      </c>
      <c r="B44" s="9" t="s">
        <v>189</v>
      </c>
      <c r="C44" s="8" t="s">
        <v>247</v>
      </c>
      <c r="D44" s="8" t="s">
        <v>248</v>
      </c>
      <c r="E44" s="9" t="s">
        <v>189</v>
      </c>
      <c r="F44" s="8"/>
    </row>
    <row r="45" customFormat="false" ht="72.35" hidden="false" customHeight="false" outlineLevel="0" collapsed="false">
      <c r="A45" s="8" t="s">
        <v>28</v>
      </c>
      <c r="B45" s="9" t="s">
        <v>119</v>
      </c>
      <c r="C45" s="9" t="s">
        <v>249</v>
      </c>
      <c r="D45" s="9" t="s">
        <v>250</v>
      </c>
      <c r="E45" s="9" t="s">
        <v>251</v>
      </c>
      <c r="F45" s="8"/>
    </row>
    <row r="46" customFormat="false" ht="15" hidden="false" customHeight="false" outlineLevel="0" collapsed="false">
      <c r="A46" s="8" t="s">
        <v>28</v>
      </c>
      <c r="B46" s="9" t="s">
        <v>232</v>
      </c>
      <c r="C46" s="9" t="s">
        <v>252</v>
      </c>
      <c r="D46" s="9" t="s">
        <v>253</v>
      </c>
      <c r="E46" s="9" t="s">
        <v>126</v>
      </c>
      <c r="F46" s="8"/>
    </row>
    <row r="47" customFormat="false" ht="44" hidden="false" customHeight="false" outlineLevel="0" collapsed="false">
      <c r="A47" s="8" t="s">
        <v>28</v>
      </c>
      <c r="B47" s="9" t="s">
        <v>119</v>
      </c>
      <c r="C47" s="9" t="s">
        <v>254</v>
      </c>
      <c r="D47" s="9" t="s">
        <v>255</v>
      </c>
      <c r="E47" s="9" t="s">
        <v>256</v>
      </c>
      <c r="F47" s="8"/>
    </row>
    <row r="48" customFormat="false" ht="44" hidden="false" customHeight="false" outlineLevel="0" collapsed="false">
      <c r="A48" s="8" t="s">
        <v>28</v>
      </c>
      <c r="B48" s="9" t="s">
        <v>119</v>
      </c>
      <c r="C48" s="9" t="s">
        <v>257</v>
      </c>
      <c r="D48" s="9" t="s">
        <v>258</v>
      </c>
      <c r="E48" s="9" t="s">
        <v>259</v>
      </c>
      <c r="F48" s="8"/>
    </row>
    <row r="49" customFormat="false" ht="58.2" hidden="false" customHeight="false" outlineLevel="0" collapsed="false">
      <c r="A49" s="8" t="s">
        <v>28</v>
      </c>
      <c r="B49" s="9" t="s">
        <v>119</v>
      </c>
      <c r="C49" s="9" t="s">
        <v>260</v>
      </c>
      <c r="D49" s="9" t="s">
        <v>261</v>
      </c>
      <c r="E49" s="9" t="s">
        <v>262</v>
      </c>
      <c r="F49" s="8"/>
    </row>
    <row r="50" customFormat="false" ht="44" hidden="false" customHeight="false" outlineLevel="0" collapsed="false">
      <c r="A50" s="8" t="s">
        <v>28</v>
      </c>
      <c r="B50" s="9" t="s">
        <v>189</v>
      </c>
      <c r="C50" s="8" t="s">
        <v>263</v>
      </c>
      <c r="D50" s="9" t="s">
        <v>264</v>
      </c>
      <c r="E50" s="9" t="s">
        <v>189</v>
      </c>
      <c r="F50" s="8"/>
    </row>
    <row r="51" customFormat="false" ht="44" hidden="false" customHeight="false" outlineLevel="0" collapsed="false">
      <c r="A51" s="8" t="s">
        <v>28</v>
      </c>
      <c r="B51" s="9" t="s">
        <v>232</v>
      </c>
      <c r="C51" s="9" t="s">
        <v>265</v>
      </c>
      <c r="D51" s="9" t="s">
        <v>266</v>
      </c>
      <c r="E51" s="9" t="s">
        <v>267</v>
      </c>
      <c r="F51" s="8"/>
    </row>
    <row r="52" customFormat="false" ht="29.85" hidden="false" customHeight="false" outlineLevel="0" collapsed="false">
      <c r="A52" s="8" t="s">
        <v>28</v>
      </c>
      <c r="B52" s="9" t="s">
        <v>232</v>
      </c>
      <c r="C52" s="9" t="s">
        <v>268</v>
      </c>
      <c r="D52" s="9" t="s">
        <v>269</v>
      </c>
      <c r="E52" s="9" t="s">
        <v>126</v>
      </c>
      <c r="F52" s="8"/>
    </row>
    <row r="53" customFormat="false" ht="58.2" hidden="false" customHeight="false" outlineLevel="0" collapsed="false">
      <c r="A53" s="8" t="s">
        <v>28</v>
      </c>
      <c r="B53" s="9" t="s">
        <v>119</v>
      </c>
      <c r="C53" s="9" t="s">
        <v>270</v>
      </c>
      <c r="D53" s="8" t="s">
        <v>271</v>
      </c>
      <c r="E53" s="9" t="s">
        <v>272</v>
      </c>
      <c r="F53" s="8"/>
    </row>
    <row r="54" customFormat="false" ht="58.2" hidden="false" customHeight="false" outlineLevel="0" collapsed="false">
      <c r="A54" s="8" t="s">
        <v>28</v>
      </c>
      <c r="B54" s="9" t="s">
        <v>119</v>
      </c>
      <c r="C54" s="9" t="s">
        <v>273</v>
      </c>
      <c r="D54" s="9" t="s">
        <v>274</v>
      </c>
      <c r="E54" s="9" t="s">
        <v>275</v>
      </c>
      <c r="F54" s="8"/>
    </row>
    <row r="55" customFormat="false" ht="58.2" hidden="false" customHeight="false" outlineLevel="0" collapsed="false">
      <c r="A55" s="8" t="s">
        <v>28</v>
      </c>
      <c r="B55" s="9" t="s">
        <v>119</v>
      </c>
      <c r="C55" s="9" t="s">
        <v>276</v>
      </c>
      <c r="D55" s="9" t="s">
        <v>277</v>
      </c>
      <c r="E55" s="9" t="s">
        <v>2</v>
      </c>
      <c r="F55" s="8"/>
    </row>
    <row r="56" customFormat="false" ht="58.2" hidden="false" customHeight="false" outlineLevel="0" collapsed="false">
      <c r="A56" s="8" t="s">
        <v>28</v>
      </c>
      <c r="B56" s="9" t="s">
        <v>119</v>
      </c>
      <c r="C56" s="9" t="s">
        <v>278</v>
      </c>
      <c r="D56" s="9" t="s">
        <v>279</v>
      </c>
      <c r="E56" s="9" t="s">
        <v>280</v>
      </c>
      <c r="F56" s="8"/>
    </row>
    <row r="57" customFormat="false" ht="44" hidden="false" customHeight="false" outlineLevel="0" collapsed="false">
      <c r="A57" s="8" t="s">
        <v>28</v>
      </c>
      <c r="B57" s="9" t="s">
        <v>119</v>
      </c>
      <c r="C57" s="9" t="s">
        <v>281</v>
      </c>
      <c r="D57" s="9" t="s">
        <v>282</v>
      </c>
      <c r="E57" s="9" t="s">
        <v>2</v>
      </c>
      <c r="F57" s="8"/>
    </row>
    <row r="58" customFormat="false" ht="29.85" hidden="false" customHeight="false" outlineLevel="0" collapsed="false">
      <c r="A58" s="8" t="s">
        <v>28</v>
      </c>
      <c r="B58" s="9" t="s">
        <v>136</v>
      </c>
      <c r="C58" s="9" t="s">
        <v>283</v>
      </c>
      <c r="D58" s="8" t="s">
        <v>284</v>
      </c>
      <c r="E58" s="9" t="s">
        <v>285</v>
      </c>
      <c r="F58" s="8"/>
    </row>
    <row r="59" customFormat="false" ht="44" hidden="false" customHeight="false" outlineLevel="0" collapsed="false">
      <c r="A59" s="8" t="s">
        <v>28</v>
      </c>
      <c r="B59" s="9" t="s">
        <v>119</v>
      </c>
      <c r="C59" s="9" t="s">
        <v>286</v>
      </c>
      <c r="D59" s="9" t="s">
        <v>287</v>
      </c>
      <c r="E59" s="9" t="s">
        <v>288</v>
      </c>
      <c r="F59" s="8"/>
    </row>
    <row r="60" customFormat="false" ht="44" hidden="false" customHeight="false" outlineLevel="0" collapsed="false">
      <c r="A60" s="8" t="s">
        <v>28</v>
      </c>
      <c r="B60" s="9" t="s">
        <v>119</v>
      </c>
      <c r="C60" s="9" t="s">
        <v>289</v>
      </c>
      <c r="D60" s="9" t="s">
        <v>290</v>
      </c>
      <c r="E60" s="9" t="s">
        <v>291</v>
      </c>
      <c r="F60" s="8"/>
    </row>
    <row r="61" customFormat="false" ht="58.2" hidden="false" customHeight="false" outlineLevel="0" collapsed="false">
      <c r="A61" s="8" t="s">
        <v>28</v>
      </c>
      <c r="B61" s="9" t="s">
        <v>119</v>
      </c>
      <c r="C61" s="9" t="s">
        <v>292</v>
      </c>
      <c r="D61" s="9" t="s">
        <v>293</v>
      </c>
      <c r="E61" s="9" t="s">
        <v>2</v>
      </c>
      <c r="F61" s="8"/>
    </row>
    <row r="62" customFormat="false" ht="58.2" hidden="false" customHeight="false" outlineLevel="0" collapsed="false">
      <c r="A62" s="8" t="s">
        <v>28</v>
      </c>
      <c r="B62" s="9" t="s">
        <v>119</v>
      </c>
      <c r="C62" s="9" t="s">
        <v>294</v>
      </c>
      <c r="D62" s="9" t="s">
        <v>295</v>
      </c>
      <c r="E62" s="9" t="s">
        <v>296</v>
      </c>
      <c r="F62" s="8"/>
    </row>
    <row r="63" customFormat="false" ht="15" hidden="false" customHeight="false" outlineLevel="0" collapsed="false">
      <c r="A63" s="8" t="s">
        <v>28</v>
      </c>
      <c r="B63" s="9" t="s">
        <v>136</v>
      </c>
      <c r="C63" s="9" t="s">
        <v>297</v>
      </c>
      <c r="D63" s="8" t="s">
        <v>298</v>
      </c>
      <c r="E63" s="9" t="s">
        <v>285</v>
      </c>
      <c r="F63" s="8"/>
    </row>
    <row r="64" customFormat="false" ht="58.2" hidden="false" customHeight="false" outlineLevel="0" collapsed="false">
      <c r="A64" s="8" t="s">
        <v>28</v>
      </c>
      <c r="B64" s="9" t="s">
        <v>119</v>
      </c>
      <c r="C64" s="9" t="s">
        <v>299</v>
      </c>
      <c r="D64" s="9" t="s">
        <v>300</v>
      </c>
      <c r="E64" s="9" t="s">
        <v>301</v>
      </c>
      <c r="F64" s="8"/>
    </row>
    <row r="65" customFormat="false" ht="44" hidden="false" customHeight="false" outlineLevel="0" collapsed="false">
      <c r="A65" s="8" t="s">
        <v>112</v>
      </c>
      <c r="B65" s="9" t="s">
        <v>136</v>
      </c>
      <c r="C65" s="9" t="s">
        <v>302</v>
      </c>
      <c r="D65" s="8" t="s">
        <v>303</v>
      </c>
      <c r="E65" s="9" t="s">
        <v>285</v>
      </c>
      <c r="F65" s="8"/>
    </row>
    <row r="66" customFormat="false" ht="86.55" hidden="false" customHeight="false" outlineLevel="0" collapsed="false">
      <c r="A66" s="8" t="s">
        <v>112</v>
      </c>
      <c r="B66" s="9" t="s">
        <v>119</v>
      </c>
      <c r="C66" s="9" t="s">
        <v>304</v>
      </c>
      <c r="D66" s="9" t="s">
        <v>305</v>
      </c>
      <c r="E66" s="9" t="s">
        <v>306</v>
      </c>
      <c r="F6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113</v>
      </c>
      <c r="B1" s="7" t="s">
        <v>307</v>
      </c>
      <c r="C1" s="7" t="s">
        <v>165</v>
      </c>
      <c r="D1" s="7" t="s">
        <v>308</v>
      </c>
      <c r="E1" s="7" t="s">
        <v>309</v>
      </c>
    </row>
    <row r="2" customFormat="false" ht="15" hidden="false" customHeight="false" outlineLevel="0" collapsed="false">
      <c r="A2" s="8" t="s">
        <v>118</v>
      </c>
      <c r="B2" s="8" t="n">
        <v>50</v>
      </c>
      <c r="C2" s="8" t="n">
        <v>50</v>
      </c>
      <c r="D2" s="10" t="n">
        <f aca="false">IFERROR(C2/B2,0)</f>
        <v>1</v>
      </c>
      <c r="E2" s="9" t="s">
        <v>310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311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312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313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314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315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316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317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318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319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320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321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322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323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324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325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326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327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328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329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330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331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332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333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334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335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336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337</v>
      </c>
    </row>
    <row r="30" customFormat="false" ht="15" hidden="false" customHeight="false" outlineLevel="0" collapsed="false">
      <c r="A30" s="8" t="s">
        <v>28</v>
      </c>
      <c r="B30" s="8" t="n">
        <v>105</v>
      </c>
      <c r="C30" s="8" t="n">
        <v>105</v>
      </c>
      <c r="D30" s="10" t="n">
        <f aca="false">IFERROR(C30/B30,0)</f>
        <v>1</v>
      </c>
      <c r="E30" s="9" t="s">
        <v>338</v>
      </c>
    </row>
    <row r="31" customFormat="false" ht="15" hidden="false" customHeight="false" outlineLevel="0" collapsed="false">
      <c r="A31" s="8" t="s">
        <v>28</v>
      </c>
      <c r="B31" s="8" t="n">
        <v>106</v>
      </c>
      <c r="C31" s="8" t="n">
        <v>106</v>
      </c>
      <c r="D31" s="10" t="n">
        <f aca="false">IFERROR(C31/B31,0)</f>
        <v>1</v>
      </c>
      <c r="E31" s="9" t="s">
        <v>339</v>
      </c>
    </row>
    <row r="32" customFormat="false" ht="15" hidden="false" customHeight="false" outlineLevel="0" collapsed="false">
      <c r="A32" s="8" t="s">
        <v>28</v>
      </c>
      <c r="B32" s="8" t="n">
        <v>106</v>
      </c>
      <c r="C32" s="8" t="n">
        <v>106</v>
      </c>
      <c r="D32" s="10" t="n">
        <f aca="false">IFERROR(C32/B32,0)</f>
        <v>1</v>
      </c>
      <c r="E32" s="9" t="s">
        <v>340</v>
      </c>
    </row>
    <row r="33" customFormat="false" ht="15" hidden="false" customHeight="false" outlineLevel="0" collapsed="false">
      <c r="A33" s="8" t="s">
        <v>28</v>
      </c>
      <c r="B33" s="8" t="n">
        <v>107</v>
      </c>
      <c r="C33" s="8" t="n">
        <v>107</v>
      </c>
      <c r="D33" s="10" t="n">
        <f aca="false">IFERROR(C33/B33,0)</f>
        <v>1</v>
      </c>
      <c r="E33" s="9" t="s">
        <v>341</v>
      </c>
    </row>
    <row r="34" customFormat="false" ht="15" hidden="false" customHeight="false" outlineLevel="0" collapsed="false">
      <c r="A34" s="8" t="s">
        <v>28</v>
      </c>
      <c r="B34" s="8" t="n">
        <v>108</v>
      </c>
      <c r="C34" s="8" t="n">
        <v>108</v>
      </c>
      <c r="D34" s="10" t="n">
        <f aca="false">IFERROR(C34/B34,0)</f>
        <v>1</v>
      </c>
      <c r="E34" s="9" t="s">
        <v>342</v>
      </c>
    </row>
    <row r="35" customFormat="false" ht="15" hidden="false" customHeight="false" outlineLevel="0" collapsed="false">
      <c r="A35" s="8" t="s">
        <v>28</v>
      </c>
      <c r="B35" s="8" t="n">
        <v>108</v>
      </c>
      <c r="C35" s="8" t="n">
        <v>108</v>
      </c>
      <c r="D35" s="10" t="n">
        <f aca="false">IFERROR(C35/B35,0)</f>
        <v>1</v>
      </c>
      <c r="E35" s="9" t="s">
        <v>343</v>
      </c>
    </row>
    <row r="36" customFormat="false" ht="15" hidden="false" customHeight="false" outlineLevel="0" collapsed="false">
      <c r="A36" s="8" t="s">
        <v>28</v>
      </c>
      <c r="B36" s="8" t="n">
        <v>109</v>
      </c>
      <c r="C36" s="8" t="n">
        <v>109</v>
      </c>
      <c r="D36" s="10" t="n">
        <f aca="false">IFERROR(C36/B36,0)</f>
        <v>1</v>
      </c>
      <c r="E36" s="9" t="s">
        <v>344</v>
      </c>
    </row>
    <row r="37" customFormat="false" ht="15" hidden="false" customHeight="false" outlineLevel="0" collapsed="false">
      <c r="A37" s="8" t="s">
        <v>112</v>
      </c>
      <c r="B37" s="8" t="n">
        <v>112</v>
      </c>
      <c r="C37" s="8" t="n">
        <v>112</v>
      </c>
      <c r="D37" s="10" t="n">
        <f aca="false">IFERROR(C37/B37,0)</f>
        <v>1</v>
      </c>
      <c r="E37" s="9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2026-10-29T11:04:06Z</dcterms:created>
  <dc:creator>openpyxl</dc:creator>
  <dc:description/>
  <dc:language>en-US</dc:language>
  <cp:lastModifiedBy/>
  <dcterms:modified xsi:type="dcterms:W3CDTF">2026-10-29T11:04:07Z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