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<sst xmlns="http://schemas.openxmlformats.org/spreadsheetml/2006/main" count="420" uniqueCount="229">
  <si>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</si>
  <si>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</si>
  <si>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</si>
  <si>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</si>
  <si>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</si>
  <si>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</si>
  <si>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</si>
  <si>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</si>
  <si>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</si>
  <si>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</si>
  <si>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</si>
  <si>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</si>
  <si>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</si>
  <si>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</si>
  <si>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</si>
  <si>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</si>
  <si>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</si>
  <si>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</si>
  <si>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</si>
  <si>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</si>
  <si>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</si>
  <si>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</si>
  <si>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</si>
  <si>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</si>
  <si>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</si>
  <si>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</si>
  <si>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</si>
  <si>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</si>
  <si>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</si>
  <si>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</si>
  <si>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</si>
  <si>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</si>
  <si>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</si>
  <si>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</si>
  <si>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</si>
  <si>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</si>
  <si>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</si>
  <si>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</si>
  <si>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</si>
  <si>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</si>
  <si>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</si>
  <si>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</si>
  <si>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</si>
  <si>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</si>
  <si>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</si>
  <si>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</si>
  <si>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</si>
  <si>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</si>
  <si>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</si>
  <si>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</si>
  <si>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</si>
  <si>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</si>
  <si>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</si>
  <si>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</si>
  <si>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</si>
  <si>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</si>
  <si>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</si>
  <si>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</si>
  <si>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r>
      <rPr>
        <sz val="10"/>
        <color rgb="FF000000"/>
        <rFont val="Noto Sans CJK SC"/>
        <family val="2"/>
      </rPr>
      <t xml:space="preserve">자동 자막 실제 모델로 검증 </t>
    </r>
    <r>
      <rPr>
        <sz val="10"/>
        <color rgb="FF000000"/>
        <rFont val="Arial"/>
        <family val="0"/>
        <charset val="1"/>
      </rPr>
      <t xml:space="preserve">(Windows</t>
    </r>
    <r>
      <rPr>
        <sz val="10"/>
        <color rgb="FF000000"/>
        <rFont val="Noto Sans CJK SC"/>
        <family val="2"/>
      </rPr>
      <t xml:space="preserve">에서 첫 다운로드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한국어 인식</t>
    </r>
    <r>
      <rPr>
        <sz val="10"/>
        <color rgb="FF000000"/>
        <rFont val="Arial"/>
        <family val="0"/>
        <charset val="1"/>
      </rPr>
      <t xml:space="preserve">)</t>
    </r>
  </si>
  <si>
    <t xml:space="preserve">이 서버에서는 모델을 받을 수 없어 가짜 모델로만 확인함</t>
  </si>
  <si>
    <r>
      <rPr>
        <sz val="10"/>
        <color rgb="FF000000"/>
        <rFont val="Noto Sans CJK SC"/>
        <family val="2"/>
      </rPr>
      <t xml:space="preserve">미리보기 재생기 소리 늘어짐 원인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확인 결과에 따라</t>
    </r>
    <r>
      <rPr>
        <sz val="10"/>
        <color rgb="FF000000"/>
        <rFont val="Arial"/>
        <family val="0"/>
        <charset val="1"/>
      </rPr>
      <t xml:space="preserve">)</t>
    </r>
  </si>
  <si>
    <t xml:space="preserve">외부 플레이어 비교 결과를 받아서 결정</t>
  </si>
  <si>
    <r>
      <rPr>
        <sz val="10"/>
        <color rgb="FF000000"/>
        <rFont val="Noto Sans CJK SC"/>
        <family val="2"/>
      </rPr>
      <t xml:space="preserve">타임라인 막대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완성 영상에서 각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위치를 한눈에</t>
    </r>
    <r>
      <rPr>
        <sz val="10"/>
        <color rgb="FF000000"/>
        <rFont val="Arial"/>
        <family val="0"/>
        <charset val="1"/>
      </rPr>
      <t xml:space="preserve">)</t>
    </r>
  </si>
  <si>
    <t xml:space="preserve">클립이 많아지면 목록만으로는 전체 흐름이 안 보임</t>
  </si>
  <si>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센 비트에서만 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후렴구에서 더 빠르게</t>
    </r>
    <r>
      <rPr>
        <sz val="10"/>
        <color rgb="FF000000"/>
        <rFont val="Arial"/>
        <family val="0"/>
        <charset val="1"/>
      </rPr>
      <t xml:space="preserve">)</t>
    </r>
  </si>
  <si>
    <t xml:space="preserve">모든 비트에서 똑같이 바뀌면 단조로움</t>
  </si>
  <si>
    <r>
      <rPr>
        <sz val="10"/>
        <color rgb="FF000000"/>
        <rFont val="Noto Sans CJK SC"/>
        <family val="2"/>
      </rPr>
      <t xml:space="preserve">오류 기록 파일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예상 못한 오류 안내 창</t>
    </r>
  </si>
  <si>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생긴 문제를 원인까지 추적할 방법이 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지금은 메시지 한 줄뿐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</si>
  <si>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초로 영상 길이 정하기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클립마다 한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노래도 거기서 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</si>
  <si>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사용자 요청</t>
    </r>
    <r>
      <rPr>
        <sz val="10"/>
        <color rgb="FF000000"/>
        <rFont val="Arial"/>
        <family val="0"/>
        <charset val="1"/>
      </rPr>
      <t xml:space="preserve">: 8</t>
    </r>
    <r>
      <rPr>
        <sz val="10"/>
        <color rgb="FF000000"/>
        <rFont val="Noto Sans CJK SC"/>
        <family val="2"/>
      </rPr>
      <t xml:space="preserve">개 영상을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초씩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끝나야 함</t>
    </r>
  </si>
  <si>
    <r>
      <rPr>
        <sz val="10"/>
        <color rgb="FF000000"/>
        <rFont val="Noto Sans CJK SC"/>
        <family val="2"/>
      </rPr>
      <t xml:space="preserve">대규모 프로젝트 스트레스 테스트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수백 개</t>
    </r>
    <r>
      <rPr>
        <sz val="10"/>
        <color rgb="FF000000"/>
        <rFont val="Arial"/>
        <family val="0"/>
        <charset val="1"/>
      </rPr>
      <t xml:space="preserve">·10</t>
    </r>
    <r>
      <rPr>
        <sz val="10"/>
        <color rgb="FF000000"/>
        <rFont val="Noto Sans CJK SC"/>
        <family val="2"/>
      </rPr>
      <t xml:space="preserve">분 영상</t>
    </r>
    <r>
      <rPr>
        <sz val="10"/>
        <color rgb="FF000000"/>
        <rFont val="Arial"/>
        <family val="0"/>
        <charset val="1"/>
      </rPr>
      <t xml:space="preserve">)</t>
    </r>
  </si>
  <si>
    <t xml:space="preserve">실제 사용은 테스트보다 훨씬 길고 컷이 많음</t>
  </si>
  <si>
    <r>
      <rPr>
        <sz val="10"/>
        <color rgb="FF000000"/>
        <rFont val="Noto Sans CJK SC"/>
        <family val="2"/>
      </rPr>
      <t xml:space="preserve">단축키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스페이스 재생</t>
    </r>
    <r>
      <rPr>
        <sz val="10"/>
        <color rgb="FF000000"/>
        <rFont val="Arial"/>
        <family val="0"/>
        <charset val="1"/>
      </rPr>
      <t xml:space="preserve">, Delete </t>
    </r>
    <r>
      <rPr>
        <sz val="10"/>
        <color rgb="FF000000"/>
        <rFont val="Noto Sans CJK SC"/>
        <family val="2"/>
      </rPr>
      <t xml:space="preserve">삭제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)</t>
    </r>
  </si>
  <si>
    <t xml:space="preserve">자주 하는 동작을 마우스 없이</t>
  </si>
  <si>
    <r>
      <rPr>
        <sz val="10"/>
        <color rgb="FF000000"/>
        <rFont val="Noto Sans CJK SC"/>
        <family val="2"/>
      </rPr>
      <t xml:space="preserve">사진 켄 번즈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천천히 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이동</t>
    </r>
    <r>
      <rPr>
        <sz val="10"/>
        <color rgb="FF000000"/>
        <rFont val="Arial"/>
        <family val="0"/>
        <charset val="1"/>
      </rPr>
      <t xml:space="preserve">)</t>
    </r>
  </si>
  <si>
    <t xml:space="preserve">사진이 멈춰 있으면 영상이 밋밋함</t>
  </si>
  <si>
    <r>
      <rPr>
        <sz val="10"/>
        <color rgb="FF000000"/>
        <rFont val="Noto Sans CJK SC"/>
        <family val="2"/>
      </rPr>
      <t xml:space="preserve">말소리 나올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</si>
  <si>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t xml:space="preserve">브이로그에서 음악에 말소리가 묻힘</t>
  </si>
  <si>
    <r>
      <rPr>
        <sz val="10"/>
        <color rgb="FF000000"/>
        <rFont val="Noto Sans CJK SC"/>
        <family val="2"/>
      </rPr>
      <t xml:space="preserve">색감 필터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</si>
  <si>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여러 폰으로 찍은 영상의 색감 통일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분위기</t>
    </r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</si>
  <si>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</si>
  <si>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</si>
  <si>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</si>
  <si>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</si>
  <si>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</si>
  <si>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</si>
  <si>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</si>
  <si>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</si>
  <si>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</si>
  <si>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</si>
  <si>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</si>
  <si>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</si>
  <si>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</si>
  <si>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</si>
  <si>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</si>
  <si>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</si>
  <si>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</si>
  <si>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</si>
  <si>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</si>
  <si>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</si>
  <si>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</si>
  <si>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</si>
  <si>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</si>
  <si>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</si>
  <si>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</si>
  <si>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</si>
  <si>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</si>
  <si>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</si>
  <si>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</si>
  <si>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</si>
  <si>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</si>
  <si>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</si>
  <si>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</si>
  <si>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</si>
  <si>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</si>
  <si>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</si>
  <si>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</si>
  <si>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</si>
  <si>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</si>
  <si>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</si>
  <si>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</si>
  <si>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</si>
  <si>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</si>
  <si>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</si>
  <si>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</si>
  <si>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</si>
  <si>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</si>
  <si>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</si>
  <si>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</si>
  <si>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</si>
  <si>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</si>
  <si>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</si>
  <si>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</si>
  <si>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</si>
  <si>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</si>
  <si>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</si>
  <si>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</si>
  <si>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</si>
  <si>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</si>
  <si>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</si>
  <si>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</si>
  <si>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</si>
  <si>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</si>
  <si>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</si>
  <si>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</si>
  <si>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</si>
  <si>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</si>
  <si>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</si>
  <si>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</si>
  <si>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</si>
  <si>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</si>
  <si>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</si>
  <si>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</si>
  <si>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</si>
  <si>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</si>
  <si>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</si>
  <si>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</si>
  <si>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</si>
  <si>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</si>
  <si>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</si>
  <si>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</si>
  <si>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</si>
  <si>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</si>
  <si>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</si>
  <si>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t xml:space="preserve">1209b67</t>
  </si>
  <si>
    <r>
      <rPr>
        <sz val="10"/>
        <color rgb="FF000000"/>
        <rFont val="Arial"/>
        <family val="0"/>
        <charset val="1"/>
      </rPr>
      <t xml:space="preserve">[12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기본 플레이어로 열기</t>
    </r>
  </si>
  <si>
    <r>
      <rPr>
        <sz val="10"/>
        <color rgb="FF000000"/>
        <rFont val="Noto Sans CJK SC"/>
        <family val="2"/>
      </rPr>
      <t xml:space="preserve">미리보기 재생 바의 ↗ 버튼과 내보내기 완료 창의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버튼 →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앱 재생기 문제인지 파일 문제인지 비교 가능</t>
    </r>
  </si>
  <si>
    <t xml:space="preserve">1a3c03d</t>
  </si>
  <si>
    <r>
      <rPr>
        <sz val="10"/>
        <color rgb="FF000000"/>
        <rFont val="Arial"/>
        <family val="0"/>
        <charset val="1"/>
      </rPr>
      <t xml:space="preserve">[13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조각 캐시</t>
    </r>
  </si>
  <si>
    <r>
      <rPr>
        <sz val="10"/>
        <color rgb="FF000000"/>
        <rFont val="Noto Sans CJK SC"/>
        <family val="2"/>
      </rPr>
      <t xml:space="preserve">조각을 </t>
    </r>
    <r>
      <rPr>
        <sz val="10"/>
        <color rgb="FF000000"/>
        <rFont val="Arial"/>
        <family val="0"/>
        <charset val="1"/>
      </rPr>
      <t xml:space="preserve">%LOCALAPPDATA%\ReelCut\cache</t>
    </r>
    <r>
      <rPr>
        <sz val="10"/>
        <color rgb="FF000000"/>
        <rFont val="Noto Sans CJK SC"/>
        <family val="2"/>
      </rPr>
      <t xml:space="preserve">에 저장해 두고 같은 원본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설정이면 재사용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원본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시각까지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3GB, </t>
    </r>
    <r>
      <rPr>
        <sz val="10"/>
        <color rgb="FF000000"/>
        <rFont val="Noto Sans CJK SC"/>
        <family val="2"/>
      </rPr>
      <t xml:space="preserve">오래 안 쓴 것부터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임시 조각 지우기</t>
    </r>
    <r>
      <rPr>
        <sz val="10"/>
        <color rgb="FF000000"/>
        <rFont val="Arial"/>
        <family val="0"/>
        <charset val="1"/>
      </rPr>
      <t xml:space="preserve">'.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개 미리보기</t>
    </r>
    <r>
      <rPr>
        <sz val="10"/>
        <color rgb="FF000000"/>
        <rFont val="Arial"/>
        <family val="0"/>
        <charset val="1"/>
      </rPr>
      <t xml:space="preserve">): 19.1</t>
    </r>
    <r>
      <rPr>
        <sz val="10"/>
        <color rgb="FF000000"/>
        <rFont val="Noto Sans CJK SC"/>
        <family val="2"/>
      </rPr>
      <t xml:space="preserve">초 → 자막만 바꿔 다시 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제목 추가 </t>
    </r>
    <r>
      <rPr>
        <sz val="10"/>
        <color rgb="FF000000"/>
        <rFont val="Arial"/>
        <family val="0"/>
        <charset val="1"/>
      </rPr>
      <t xml:space="preserve">6.5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작은따옴표 사용자 폴더에서도 엣지 테스트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통과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</si>
  <si>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 빨라짐</t>
    </r>
  </si>
  <si>
    <t xml:space="preserve">bf35efd</t>
  </si>
  <si>
    <r>
      <rPr>
        <sz val="10"/>
        <color rgb="FF000000"/>
        <rFont val="Arial"/>
        <family val="0"/>
        <charset val="1"/>
      </rPr>
      <t xml:space="preserve">[14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클립별 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</si>
  <si>
    <r>
      <rPr>
        <sz val="10"/>
        <color rgb="FF000000"/>
        <rFont val="Noto Sans CJK SC"/>
        <family val="2"/>
      </rPr>
      <t xml:space="preserve">선택한 클립의 속도</t>
    </r>
    <r>
      <rPr>
        <sz val="10"/>
        <color rgb="FF000000"/>
        <rFont val="Arial"/>
        <family val="0"/>
        <charset val="1"/>
      </rPr>
      <t xml:space="preserve">(0.25~4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소리는 음높이 유지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소리 크기</t>
    </r>
    <r>
      <rPr>
        <sz val="10"/>
        <color rgb="FF000000"/>
        <rFont val="Arial"/>
        <family val="0"/>
        <charset val="1"/>
      </rPr>
      <t xml:space="preserve">(0~200%)·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⏩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/🐢0.5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/🔇 </t>
    </r>
    <r>
      <rPr>
        <sz val="10"/>
        <color rgb="FF000000"/>
        <rFont val="Noto Sans CJK SC"/>
        <family val="2"/>
      </rPr>
      <t xml:space="preserve">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전체 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맞춤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자막 시간 모두 속도 반영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0.5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/4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초 정확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프레임 확인으로 원본 위치도 맞음</t>
    </r>
  </si>
  <si>
    <t xml:space="preserve">e6c4fab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</si>
  <si>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(15~18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</si>
  <si>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사용자 확인이 필요한 항목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실제 자막 모델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재생기 소리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편의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완성도 기능</t>
    </r>
  </si>
  <si>
    <r>
      <rPr>
        <sz val="10"/>
        <color rgb="FF000000"/>
        <rFont val="Arial"/>
        <family val="0"/>
        <charset val="1"/>
      </rPr>
      <t xml:space="preserve">[17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타임라인 막대</t>
    </r>
  </si>
  <si>
    <r>
      <rPr>
        <sz val="10"/>
        <color rgb="FF000000"/>
        <rFont val="Noto Sans CJK SC"/>
        <family val="2"/>
      </rPr>
      <t xml:space="preserve">미리보기 아래에 완성 영상 흐름 표시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조각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파일별 색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컷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속 화면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마우스를 올리면 클립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누르면 그 클립 선택</t>
    </r>
  </si>
  <si>
    <t xml:space="preserve">6a031d7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</si>
  <si>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</si>
  <si>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일정하게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센 비트에서만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신나는 부분은 빠르게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비트 분석 때 비트별 세기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비트 직후 </t>
    </r>
    <r>
      <rPr>
        <sz val="10"/>
        <color rgb="FF000000"/>
        <rFont val="Arial"/>
        <family val="0"/>
        <charset val="1"/>
      </rPr>
      <t xml:space="preserve">60ms </t>
    </r>
    <r>
      <rPr>
        <sz val="10"/>
        <color rgb="FF000000"/>
        <rFont val="Noto Sans CJK SC"/>
        <family val="2"/>
      </rPr>
      <t xml:space="preserve">음량을 주변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비트 최댓값과 비교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구간 음량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함께 저장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합성 곡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조용한 절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시끄러운 후렴</t>
    </r>
    <r>
      <rPr>
        <sz val="10"/>
        <color rgb="FF000000"/>
        <rFont val="Arial"/>
        <family val="0"/>
        <charset val="1"/>
      </rPr>
      <t xml:space="preserve">, 4</t>
    </r>
    <r>
      <rPr>
        <sz val="10"/>
        <color rgb="FF000000"/>
        <rFont val="Noto Sans CJK SC"/>
        <family val="2"/>
      </rPr>
      <t xml:space="preserve">박 중 첫 박 강박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센 비트 모드 컷의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가 강박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신나는 부분 모드는 후렴 컷 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절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개</t>
    </r>
  </si>
  <si>
    <t xml:space="preserve">a203b11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</si>
  <si>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 중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센 비트 판정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개수 문제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건</t>
    </r>
  </si>
  <si>
    <r>
      <rPr>
        <sz val="10"/>
        <color rgb="FF000000"/>
        <rFont val="Noto Sans CJK SC"/>
        <family val="2"/>
      </rPr>
      <t xml:space="preserve">① 곡 전체 순위로 세기를 매기자 후렴의 모든 박이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세다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로 판정 → 주변 비트 대비 세기로 변경</t>
    </r>
    <r>
      <rPr>
        <sz val="10"/>
        <color rgb="FF000000"/>
        <rFont val="Arial"/>
        <family val="0"/>
        <charset val="1"/>
      </rPr>
      <t xml:space="preserve">. ② </t>
    </r>
    <r>
      <rPr>
        <sz val="10"/>
        <color rgb="FF000000"/>
        <rFont val="Noto Sans CJK SC"/>
        <family val="2"/>
      </rPr>
      <t xml:space="preserve">비트가 고르게 센 곡에서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센 비트에서만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오히려 컷이 더 많음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37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일정 간격보다 자주 바꾸지 않도록</t>
    </r>
    <r>
      <rPr>
        <sz val="10"/>
        <color rgb="FF000000"/>
        <rFont val="Arial"/>
        <family val="0"/>
        <charset val="1"/>
      </rPr>
      <t xml:space="preserve">(36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</si>
  <si>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(19~24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</si>
  <si>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Arial"/>
        <family val="0"/>
        <charset val="1"/>
      </rPr>
      <t xml:space="preserve">15·16</t>
    </r>
    <r>
      <rPr>
        <sz val="10"/>
        <color rgb="FF000000"/>
        <rFont val="Noto Sans CJK SC"/>
        <family val="2"/>
      </rPr>
      <t xml:space="preserve">순위는 사용자 확인 대기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같은 기준으로 진단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오류 기록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대규모 안정성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켄 번즈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필터 순</t>
    </r>
  </si>
  <si>
    <r>
      <rPr>
        <sz val="10"/>
        <color rgb="FF000000"/>
        <rFont val="Arial"/>
        <family val="0"/>
        <charset val="1"/>
      </rPr>
      <t xml:space="preserve">[19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오류 기록 파일</t>
    </r>
  </si>
  <si>
    <r>
      <rPr>
        <sz val="10"/>
        <color rgb="FF000000"/>
        <rFont val="Arial"/>
        <family val="0"/>
        <charset val="1"/>
      </rPr>
      <t xml:space="preserve">%LOCALAPPDATA%\ReelCut\logs\reelcut.log</t>
    </r>
    <r>
      <rPr>
        <sz val="10"/>
        <color rgb="FF000000"/>
        <rFont val="Noto Sans CJK SC"/>
        <family val="2"/>
      </rPr>
      <t xml:space="preserve">에 시작 정보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작업 실패 상세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파이썬 추적</t>
    </r>
    <r>
      <rPr>
        <sz val="10"/>
        <color rgb="FF000000"/>
        <rFont val="Arial"/>
        <family val="0"/>
        <charset val="1"/>
      </rPr>
      <t xml:space="preserve">), ffmpeg </t>
    </r>
    <r>
      <rPr>
        <sz val="10"/>
        <color rgb="FF000000"/>
        <rFont val="Noto Sans CJK SC"/>
        <family val="2"/>
      </rPr>
      <t xml:space="preserve">실패 명령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줄을 기록</t>
    </r>
    <r>
      <rPr>
        <sz val="10"/>
        <color rgb="FF000000"/>
        <rFont val="Arial"/>
        <family val="0"/>
        <charset val="1"/>
      </rPr>
      <t xml:space="preserve">(1MB×3</t>
    </r>
    <r>
      <rPr>
        <sz val="10"/>
        <color rgb="FF000000"/>
        <rFont val="Noto Sans CJK SC"/>
        <family val="2"/>
      </rPr>
      <t xml:space="preserve">개 순환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예상 못한 오류는 안내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작업은 자동 저장됨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기록 위치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도움말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오류 기록 폴더 열기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</si>
  <si>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</si>
  <si>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클립 개수에 맞춰 노래 끊기 요청</t>
  </si>
  <si>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 제각각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초마다 끊어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노래가 끝나야 함 →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순위로 바로 진행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</si>
  <si>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영상 길이</t>
    </r>
  </si>
  <si>
    <r>
      <rPr>
        <sz val="10"/>
        <color rgb="FF000000"/>
        <rFont val="Noto Sans CJK SC"/>
        <family val="2"/>
      </rPr>
      <t xml:space="preserve">자르는 기준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 비트마다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일정한 초마다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영상 길이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컷 길이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클립마다 한 컷씩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 순서 또는 무작위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영상 모두 거기서 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정보 줄에 완성 길이와 경고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음악이 짧음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컷보다 짧은 클립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</si>
  <si>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= 0:20.0,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20.0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타임라인 조각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</t>
    </r>
  </si>
  <si>
    <t xml:space="preserve">5b7fb40</t>
  </si>
  <si>
    <t xml:space="preserve">단축키</t>
  </si>
  <si>
    <r>
      <rPr>
        <sz val="10"/>
        <color rgb="FF000000"/>
        <rFont val="Noto Sans CJK SC"/>
        <family val="2"/>
      </rPr>
      <t xml:space="preserve">재생 메뉴 추가</t>
    </r>
    <r>
      <rPr>
        <sz val="10"/>
        <color rgb="FF000000"/>
        <rFont val="Arial"/>
        <family val="0"/>
        <charset val="1"/>
      </rPr>
      <t xml:space="preserve">: Space 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일시정지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글자 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음악 게이지에서는 원래 동작</t>
    </r>
    <r>
      <rPr>
        <sz val="10"/>
        <color rgb="FF000000"/>
        <rFont val="Arial"/>
        <family val="0"/>
        <charset val="1"/>
      </rPr>
      <t xml:space="preserve">), Ctrl+←/→ 5</t>
    </r>
    <r>
      <rPr>
        <sz val="10"/>
        <color rgb="FF000000"/>
        <rFont val="Noto Sans CJK SC"/>
        <family val="2"/>
      </rPr>
      <t xml:space="preserve">초 이동</t>
    </r>
    <r>
      <rPr>
        <sz val="10"/>
        <color rgb="FF000000"/>
        <rFont val="Arial"/>
        <family val="0"/>
        <charset val="1"/>
      </rPr>
      <t xml:space="preserve">, F5·Ctrl+R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, Ctrl+E 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목록에서 </t>
    </r>
    <r>
      <rPr>
        <sz val="10"/>
        <color rgb="FF000000"/>
        <rFont val="Arial"/>
        <family val="0"/>
        <charset val="1"/>
      </rPr>
      <t xml:space="preserve">Delete</t>
    </r>
    <r>
      <rPr>
        <sz val="10"/>
        <color rgb="FF000000"/>
        <rFont val="Noto Sans CJK SC"/>
        <family val="2"/>
      </rPr>
      <t xml:space="preserve">로 지우기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작업 중에는 단축키로 렌더링이 겹쳐 시작되지 않게 막음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</si>
  <si>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테스트로 키 동작 확인</t>
    </r>
  </si>
  <si>
    <t xml:space="preserve">버그 수정</t>
  </si>
  <si>
    <r>
      <rPr>
        <sz val="10"/>
        <color rgb="FF000000"/>
        <rFont val="Noto Sans CJK SC"/>
        <family val="2"/>
      </rPr>
      <t xml:space="preserve">자막 줄 삭제가 실행 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저장에 안 잡힘</t>
    </r>
  </si>
  <si>
    <r>
      <rPr>
        <sz val="10"/>
        <color rgb="FF000000"/>
        <rFont val="Noto Sans CJK SC"/>
        <family val="2"/>
      </rPr>
      <t xml:space="preserve">자막 탭에서 줄을 지워도 변경 알림이 없어 실행 취소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타임라인 갱신이 빠졌음 → 변경 알림 추가</t>
    </r>
  </si>
  <si>
    <t xml:space="preserve">대규모 프로젝트 스트레스 테스트</t>
  </si>
  <si>
    <r>
      <rPr>
        <sz val="10"/>
        <color rgb="FF000000"/>
        <rFont val="Arial"/>
        <family val="0"/>
        <charset val="1"/>
      </rPr>
      <t xml:space="preserve">720p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+ 10</t>
    </r>
    <r>
      <rPr>
        <sz val="10"/>
        <color rgb="FF000000"/>
        <rFont val="Noto Sans CJK SC"/>
        <family val="2"/>
      </rPr>
      <t xml:space="preserve">분 음악</t>
    </r>
    <r>
      <rPr>
        <sz val="10"/>
        <color rgb="FF000000"/>
        <rFont val="Arial"/>
        <family val="0"/>
        <charset val="1"/>
      </rPr>
      <t xml:space="preserve">(128 BPM), 1</t>
    </r>
    <r>
      <rPr>
        <sz val="10"/>
        <color rgb="FF000000"/>
        <rFont val="Noto Sans CJK SC"/>
        <family val="2"/>
      </rPr>
      <t xml:space="preserve">비트마다 컷 → 조각 </t>
    </r>
    <r>
      <rPr>
        <sz val="10"/>
        <color rgb="FF000000"/>
        <rFont val="Arial"/>
        <family val="0"/>
        <charset val="1"/>
      </rPr>
      <t xml:space="preserve">1281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계획 </t>
    </r>
    <r>
      <rPr>
        <sz val="10"/>
        <color rgb="FF000000"/>
        <rFont val="Arial"/>
        <family val="0"/>
        <charset val="1"/>
      </rPr>
      <t xml:space="preserve">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렌더링 </t>
    </r>
    <r>
      <rPr>
        <sz val="10"/>
        <color rgb="FF000000"/>
        <rFont val="Arial"/>
        <family val="0"/>
        <charset val="1"/>
      </rPr>
      <t xml:space="preserve">520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작업과 동시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메모리 </t>
    </r>
    <r>
      <rPr>
        <sz val="10"/>
        <color rgb="FF000000"/>
        <rFont val="Arial"/>
        <family val="0"/>
        <charset val="1"/>
      </rPr>
      <t xml:space="preserve">178MB(</t>
    </r>
    <r>
      <rPr>
        <sz val="10"/>
        <color rgb="FF000000"/>
        <rFont val="Noto Sans CJK SC"/>
        <family val="2"/>
      </rPr>
      <t xml:space="preserve">앱</t>
    </r>
    <r>
      <rPr>
        <sz val="10"/>
        <color rgb="FF000000"/>
        <rFont val="Arial"/>
        <family val="0"/>
        <charset val="1"/>
      </rPr>
      <t xml:space="preserve">)·462MB(ffmpeg). 9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 이후에도 컷이 비트와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프레임 이내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중앙값 </t>
    </r>
    <r>
      <rPr>
        <sz val="10"/>
        <color rgb="FF000000"/>
        <rFont val="Arial"/>
        <family val="0"/>
        <charset val="1"/>
      </rPr>
      <t xml:space="preserve">0.7ms), </t>
    </r>
    <r>
      <rPr>
        <sz val="10"/>
        <color rgb="FF000000"/>
        <rFont val="Noto Sans CJK SC"/>
        <family val="2"/>
      </rPr>
      <t xml:space="preserve">끝부분 소리 어긋남 </t>
    </r>
    <r>
      <rPr>
        <sz val="10"/>
        <color rgb="FF000000"/>
        <rFont val="Arial"/>
        <family val="0"/>
        <charset val="1"/>
      </rPr>
      <t xml:space="preserve">±20ms </t>
    </r>
    <r>
      <rPr>
        <sz val="10"/>
        <color rgb="FF000000"/>
        <rFont val="Noto Sans CJK SC"/>
        <family val="2"/>
      </rPr>
      <t xml:space="preserve">이내</t>
    </r>
  </si>
  <si>
    <r>
      <rPr>
        <sz val="10"/>
        <color rgb="FF000000"/>
        <rFont val="Noto Sans CJK SC"/>
        <family val="2"/>
      </rPr>
      <t xml:space="preserve">통과 </t>
    </r>
    <r>
      <rPr>
        <sz val="10"/>
        <color rgb="FF000000"/>
        <rFont val="Arial"/>
        <family val="0"/>
        <charset val="1"/>
      </rPr>
      <t xml:space="preserve">· 600.0</t>
    </r>
    <r>
      <rPr>
        <sz val="10"/>
        <color rgb="FF000000"/>
        <rFont val="Noto Sans CJK SC"/>
        <family val="2"/>
      </rPr>
      <t xml:space="preserve">초 정확</t>
    </r>
  </si>
  <si>
    <t xml:space="preserve">사진 켄 번즈 효과</t>
  </si>
  <si>
    <r>
      <rPr>
        <sz val="10"/>
        <color rgb="FF000000"/>
        <rFont val="Noto Sans CJK SC"/>
        <family val="2"/>
      </rPr>
      <t xml:space="preserve">클립마다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사진 움직임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자동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확대→오른쪽→축소→왼쪽 번갈아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기본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축소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좌우 이동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사진을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배로 한 번 키운 뒤 </t>
    </r>
    <r>
      <rPr>
        <sz val="10"/>
        <color rgb="FF000000"/>
        <rFont val="Arial"/>
        <family val="0"/>
        <charset val="1"/>
      </rPr>
      <t xml:space="preserve">zoompan</t>
    </r>
    <r>
      <rPr>
        <sz val="10"/>
        <color rgb="FF000000"/>
        <rFont val="Noto Sans CJK SC"/>
        <family val="2"/>
      </rPr>
      <t xml:space="preserve">으로 잘라내 떨림 없이 움직임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짧은 컷일수록 덜 움직임</t>
    </r>
    <r>
      <rPr>
        <sz val="10"/>
        <color rgb="FF000000"/>
        <rFont val="Arial"/>
        <family val="0"/>
        <charset val="1"/>
      </rPr>
      <t xml:space="preserve">(4%~15%). </t>
    </r>
    <r>
      <rPr>
        <sz val="10"/>
        <color rgb="FF000000"/>
        <rFont val="Noto Sans CJK SC"/>
        <family val="2"/>
      </rPr>
      <t xml:space="preserve">사진 렌더링 시간은 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(1080×1920 </t>
    </r>
    <r>
      <rPr>
        <sz val="10"/>
        <color rgb="FF000000"/>
        <rFont val="Noto Sans CJK SC"/>
        <family val="2"/>
      </rPr>
      <t xml:space="preserve">사진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9.5→21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</si>
  <si>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</si>
  <si>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</si>
  <si>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</si>
  <si>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</si>
  <si>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</si>
  <si>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</si>
  <si>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</si>
  <si>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</si>
  <si>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</si>
  <si>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</si>
  <si>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</si>
  <si>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</si>
  <si>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</si>
  <si>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</si>
  <si>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</si>
  <si>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</si>
  <si>
    <r>
      <rPr>
        <sz val="10"/>
        <color rgb="FF000000"/>
        <rFont val="Noto Sans CJK SC"/>
        <family val="2"/>
      </rPr>
      <t xml:space="preserve">캐시 재사용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무효화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정리 테스트 추가</t>
    </r>
  </si>
  <si>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테스트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엣지 스트레스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재통과</t>
    </r>
  </si>
  <si>
    <t xml:space="preserve">컷 리듬 테스트 추가</t>
  </si>
  <si>
    <t xml:space="preserve">오류 기록 테스트 추가</t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</si>
  <si>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</si>
  <si>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사진 움직임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</si>
</sst>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41" headerRowCount="1" totalsRowCount="0" totalsRowShown="0">
  <autoFilter ref="A1:F41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26" headerRowCount="1" totalsRowCount="0" totalsRowShown="0">
  <autoFilter ref="A1:F26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19" headerRowCount="1" totalsRowCount="0" totalsRowShown="0">
  <autoFilter ref="A1:E19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COUNTA(로드맵!B2:B26)</f>
        <v>25</v>
      </c>
    </row>
    <row r="4" customFormat="false" ht="15" hidden="false" customHeight="false" outlineLevel="0" collapsed="false">
      <c r="A4" s="3" t="s">
        <v>2</v>
      </c>
      <c r="B4" s="2" t="n">
        <f aca="false">COUNTIF(로드맵!E2:E26,"완료")</f>
        <v>21</v>
      </c>
    </row>
    <row r="5" customFormat="false" ht="15" hidden="false" customHeight="false" outlineLevel="0" collapsed="false">
      <c r="A5" s="3" t="s">
        <v>3</v>
      </c>
      <c r="B5" s="2" t="n">
        <f aca="false">COUNTIF(로드맵!E2:E26,"진행 중")</f>
        <v>0</v>
      </c>
    </row>
    <row r="6" customFormat="false" ht="15" hidden="false" customHeight="false" outlineLevel="0" collapsed="false">
      <c r="A6" s="3" t="s">
        <v>4</v>
      </c>
      <c r="B6" s="2" t="n">
        <f aca="false">COUNTIF(로드맵!E2:E26,"대기")</f>
        <v>4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0.84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기록'!C2:C41)</f>
        <v>40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기록'!B2:B41,"사용자 제보")</f>
        <v>4</v>
      </c>
    </row>
    <row r="11" customFormat="false" ht="15" hidden="false" customHeight="false" outlineLevel="0" collapsed="false">
      <c r="A11" s="3" t="s">
        <v>8</v>
      </c>
      <c r="B11" s="2" t="n">
        <f aca="false">INDEX(테스트!B2:B19,18)</f>
        <v>85</v>
      </c>
    </row>
    <row r="12" customFormat="false" ht="15" hidden="false" customHeight="false" outlineLevel="0" collapsed="false">
      <c r="A12" s="3" t="s">
        <v>9</v>
      </c>
      <c r="B12" s="2" t="n">
        <f aca="false">INDEX(테스트!C2:C19,18)</f>
        <v>85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2</v>
      </c>
      <c r="F13" s="8" t="s">
        <v>28</v>
      </c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2</v>
      </c>
      <c r="F14" s="8" t="s">
        <v>28</v>
      </c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2</v>
      </c>
      <c r="F15" s="8" t="s">
        <v>28</v>
      </c>
    </row>
    <row r="16" customFormat="false" ht="29.85" hidden="false" customHeight="false" outlineLevel="0" collapsed="false">
      <c r="A16" s="8" t="n">
        <v>15</v>
      </c>
      <c r="B16" s="9" t="s">
        <v>58</v>
      </c>
      <c r="C16" s="9" t="s">
        <v>30</v>
      </c>
      <c r="D16" s="9" t="s">
        <v>59</v>
      </c>
      <c r="E16" s="9" t="s">
        <v>4</v>
      </c>
      <c r="F16" s="8"/>
    </row>
    <row r="17" customFormat="false" ht="26.85" hidden="false" customHeight="false" outlineLevel="0" collapsed="false">
      <c r="A17" s="8" t="n">
        <v>16</v>
      </c>
      <c r="B17" s="9" t="s">
        <v>60</v>
      </c>
      <c r="C17" s="9" t="s">
        <v>52</v>
      </c>
      <c r="D17" s="9" t="s">
        <v>61</v>
      </c>
      <c r="E17" s="9" t="s">
        <v>4</v>
      </c>
      <c r="F17" s="8"/>
    </row>
    <row r="18" customFormat="false" ht="15" hidden="false" customHeight="false" outlineLevel="0" collapsed="false">
      <c r="A18" s="8" t="n">
        <v>17</v>
      </c>
      <c r="B18" s="9" t="s">
        <v>62</v>
      </c>
      <c r="C18" s="9" t="s">
        <v>26</v>
      </c>
      <c r="D18" s="9" t="s">
        <v>63</v>
      </c>
      <c r="E18" s="9" t="s">
        <v>2</v>
      </c>
      <c r="F18" s="8" t="s">
        <v>28</v>
      </c>
    </row>
    <row r="19" customFormat="false" ht="15" hidden="false" customHeight="false" outlineLevel="0" collapsed="false">
      <c r="A19" s="8" t="n">
        <v>18</v>
      </c>
      <c r="B19" s="9" t="s">
        <v>64</v>
      </c>
      <c r="C19" s="9" t="s">
        <v>39</v>
      </c>
      <c r="D19" s="9" t="s">
        <v>65</v>
      </c>
      <c r="E19" s="9" t="s">
        <v>2</v>
      </c>
      <c r="F19" s="8" t="s">
        <v>28</v>
      </c>
    </row>
    <row r="20" customFormat="false" ht="29.85" hidden="false" customHeight="false" outlineLevel="0" collapsed="false">
      <c r="A20" s="8" t="n">
        <v>19</v>
      </c>
      <c r="B20" s="9" t="s">
        <v>66</v>
      </c>
      <c r="C20" s="9" t="s">
        <v>30</v>
      </c>
      <c r="D20" s="9" t="s">
        <v>67</v>
      </c>
      <c r="E20" s="9" t="s">
        <v>2</v>
      </c>
      <c r="F20" s="8" t="s">
        <v>28</v>
      </c>
    </row>
    <row r="21" customFormat="false" ht="29.85" hidden="false" customHeight="false" outlineLevel="0" collapsed="false">
      <c r="A21" s="8" t="n">
        <v>20</v>
      </c>
      <c r="B21" s="9" t="s">
        <v>68</v>
      </c>
      <c r="C21" s="9" t="s">
        <v>52</v>
      </c>
      <c r="D21" s="9" t="s">
        <v>69</v>
      </c>
      <c r="E21" s="9" t="s">
        <v>2</v>
      </c>
      <c r="F21" s="8" t="s">
        <v>28</v>
      </c>
    </row>
    <row r="22" customFormat="false" ht="15" hidden="false" customHeight="false" outlineLevel="0" collapsed="false">
      <c r="A22" s="8" t="n">
        <v>21</v>
      </c>
      <c r="B22" s="9" t="s">
        <v>70</v>
      </c>
      <c r="C22" s="9" t="s">
        <v>30</v>
      </c>
      <c r="D22" s="9" t="s">
        <v>71</v>
      </c>
      <c r="E22" s="9" t="s">
        <v>2</v>
      </c>
      <c r="F22" s="8" t="s">
        <v>28</v>
      </c>
    </row>
    <row r="23" customFormat="false" ht="15" hidden="false" customHeight="false" outlineLevel="0" collapsed="false">
      <c r="A23" s="8" t="n">
        <v>22</v>
      </c>
      <c r="B23" s="9" t="s">
        <v>72</v>
      </c>
      <c r="C23" s="9" t="s">
        <v>26</v>
      </c>
      <c r="D23" s="9" t="s">
        <v>73</v>
      </c>
      <c r="E23" s="9" t="s">
        <v>2</v>
      </c>
      <c r="F23" s="8" t="s">
        <v>28</v>
      </c>
    </row>
    <row r="24" customFormat="false" ht="15" hidden="false" customHeight="false" outlineLevel="0" collapsed="false">
      <c r="A24" s="8" t="n">
        <v>23</v>
      </c>
      <c r="B24" s="9" t="s">
        <v>74</v>
      </c>
      <c r="C24" s="9" t="s">
        <v>39</v>
      </c>
      <c r="D24" s="9" t="s">
        <v>75</v>
      </c>
      <c r="E24" s="9" t="s">
        <v>2</v>
      </c>
      <c r="F24" s="8" t="s">
        <v>28</v>
      </c>
    </row>
    <row r="25" customFormat="false" ht="15" hidden="false" customHeight="false" outlineLevel="0" collapsed="false">
      <c r="A25" s="8" t="n">
        <v>24</v>
      </c>
      <c r="B25" s="9" t="s">
        <v>76</v>
      </c>
      <c r="C25" s="9" t="s">
        <v>39</v>
      </c>
      <c r="D25" s="9" t="s">
        <v>77</v>
      </c>
      <c r="E25" s="9" t="s">
        <v>4</v>
      </c>
      <c r="F25" s="8"/>
    </row>
    <row r="26" customFormat="false" ht="15" hidden="false" customHeight="false" outlineLevel="0" collapsed="false">
      <c r="A26" s="8" t="n">
        <v>25</v>
      </c>
      <c r="B26" s="9" t="s">
        <v>78</v>
      </c>
      <c r="C26" s="9" t="s">
        <v>39</v>
      </c>
      <c r="D26" s="9" t="s">
        <v>79</v>
      </c>
      <c r="E26" s="9" t="s">
        <v>4</v>
      </c>
      <c r="F26" s="8"/>
    </row>
  </sheetData>
  <conditionalFormatting sqref="E2:E26">
    <cfRule type="cellIs" priority="2" operator="equal" aboveAverage="0" equalAverage="0" bottom="0" percent="0" rank="0" text="" dxfId="6">
      <formula>"완료"</formula>
    </cfRule>
    <cfRule type="cellIs" priority="3" operator="equal" aboveAverage="0" equalAverage="0" bottom="0" percent="0" rank="0" text="" dxfId="7">
      <formula>"진행 중"</formula>
    </cfRule>
    <cfRule type="cellIs" priority="4" operator="equal" aboveAverage="0" equalAverage="0" bottom="0" percent="0" rank="0" text="" dxfId="8">
      <formula>"대기"</formula>
    </cfRule>
    <cfRule type="cellIs" priority="5" operator="equal" aboveAverage="0" equalAverage="0" bottom="0" percent="0" rank="0" text="" dxfId="6">
      <formula>"수정"</formula>
    </cfRule>
    <cfRule type="cellIs" priority="6" operator="equal" aboveAverage="0" equalAverage="0" bottom="0" percent="0" rank="0" text="" dxfId="7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80</v>
      </c>
      <c r="B1" s="7" t="s">
        <v>81</v>
      </c>
      <c r="C1" s="7" t="s">
        <v>20</v>
      </c>
      <c r="D1" s="7" t="s">
        <v>82</v>
      </c>
      <c r="E1" s="7" t="s">
        <v>83</v>
      </c>
      <c r="F1" s="7" t="s">
        <v>84</v>
      </c>
    </row>
    <row r="2" customFormat="false" ht="15" hidden="false" customHeight="false" outlineLevel="0" collapsed="false">
      <c r="A2" s="8" t="s">
        <v>85</v>
      </c>
      <c r="B2" s="9" t="s">
        <v>86</v>
      </c>
      <c r="C2" s="9" t="s">
        <v>87</v>
      </c>
      <c r="D2" s="9" t="s">
        <v>88</v>
      </c>
      <c r="E2" s="9" t="s">
        <v>2</v>
      </c>
      <c r="F2" s="8" t="s">
        <v>89</v>
      </c>
    </row>
    <row r="3" customFormat="false" ht="29.85" hidden="false" customHeight="false" outlineLevel="0" collapsed="false">
      <c r="A3" s="8" t="s">
        <v>85</v>
      </c>
      <c r="B3" s="9" t="s">
        <v>86</v>
      </c>
      <c r="C3" s="9" t="s">
        <v>90</v>
      </c>
      <c r="D3" s="8" t="s">
        <v>91</v>
      </c>
      <c r="E3" s="9" t="s">
        <v>2</v>
      </c>
      <c r="F3" s="8" t="s">
        <v>92</v>
      </c>
    </row>
    <row r="4" customFormat="false" ht="15" hidden="false" customHeight="false" outlineLevel="0" collapsed="false">
      <c r="A4" s="8" t="s">
        <v>85</v>
      </c>
      <c r="B4" s="9" t="s">
        <v>93</v>
      </c>
      <c r="C4" s="8" t="s">
        <v>94</v>
      </c>
      <c r="D4" s="8" t="s">
        <v>95</v>
      </c>
      <c r="E4" s="9" t="s">
        <v>96</v>
      </c>
      <c r="F4" s="8" t="s">
        <v>92</v>
      </c>
    </row>
    <row r="5" customFormat="false" ht="15" hidden="false" customHeight="false" outlineLevel="0" collapsed="false">
      <c r="A5" s="8" t="s">
        <v>85</v>
      </c>
      <c r="B5" s="9" t="s">
        <v>86</v>
      </c>
      <c r="C5" s="9" t="s">
        <v>97</v>
      </c>
      <c r="D5" s="9" t="s">
        <v>98</v>
      </c>
      <c r="E5" s="9" t="s">
        <v>2</v>
      </c>
      <c r="F5" s="8" t="s">
        <v>99</v>
      </c>
    </row>
    <row r="6" customFormat="false" ht="15" hidden="false" customHeight="false" outlineLevel="0" collapsed="false">
      <c r="A6" s="8" t="s">
        <v>85</v>
      </c>
      <c r="B6" s="9" t="s">
        <v>86</v>
      </c>
      <c r="C6" s="9" t="s">
        <v>100</v>
      </c>
      <c r="D6" s="8" t="s">
        <v>101</v>
      </c>
      <c r="E6" s="9" t="s">
        <v>2</v>
      </c>
      <c r="F6" s="8" t="s">
        <v>102</v>
      </c>
    </row>
    <row r="7" customFormat="false" ht="29.85" hidden="false" customHeight="false" outlineLevel="0" collapsed="false">
      <c r="A7" s="8" t="s">
        <v>85</v>
      </c>
      <c r="B7" s="9" t="s">
        <v>103</v>
      </c>
      <c r="C7" s="9" t="s">
        <v>104</v>
      </c>
      <c r="D7" s="9" t="s">
        <v>105</v>
      </c>
      <c r="E7" s="9" t="s">
        <v>93</v>
      </c>
      <c r="F7" s="8" t="s">
        <v>106</v>
      </c>
    </row>
    <row r="8" customFormat="false" ht="29.85" hidden="false" customHeight="false" outlineLevel="0" collapsed="false">
      <c r="A8" s="8" t="s">
        <v>85</v>
      </c>
      <c r="B8" s="9" t="s">
        <v>103</v>
      </c>
      <c r="C8" s="9" t="s">
        <v>107</v>
      </c>
      <c r="D8" s="9" t="s">
        <v>108</v>
      </c>
      <c r="E8" s="9" t="s">
        <v>93</v>
      </c>
      <c r="F8" s="8" t="s">
        <v>109</v>
      </c>
    </row>
    <row r="9" customFormat="false" ht="29.85" hidden="false" customHeight="false" outlineLevel="0" collapsed="false">
      <c r="A9" s="8" t="s">
        <v>85</v>
      </c>
      <c r="B9" s="9" t="s">
        <v>103</v>
      </c>
      <c r="C9" s="9" t="s">
        <v>110</v>
      </c>
      <c r="D9" s="9" t="s">
        <v>111</v>
      </c>
      <c r="E9" s="9" t="s">
        <v>112</v>
      </c>
      <c r="F9" s="8" t="s">
        <v>113</v>
      </c>
    </row>
    <row r="10" customFormat="false" ht="29.85" hidden="false" customHeight="false" outlineLevel="0" collapsed="false">
      <c r="A10" s="8" t="s">
        <v>28</v>
      </c>
      <c r="B10" s="9" t="s">
        <v>114</v>
      </c>
      <c r="C10" s="9" t="s">
        <v>115</v>
      </c>
      <c r="D10" s="9" t="s">
        <v>116</v>
      </c>
      <c r="E10" s="9" t="s">
        <v>117</v>
      </c>
      <c r="F10" s="8"/>
    </row>
    <row r="11" customFormat="false" ht="29.85" hidden="false" customHeight="false" outlineLevel="0" collapsed="false">
      <c r="A11" s="8" t="s">
        <v>28</v>
      </c>
      <c r="B11" s="9" t="s">
        <v>86</v>
      </c>
      <c r="C11" s="8" t="s">
        <v>118</v>
      </c>
      <c r="D11" s="9" t="s">
        <v>119</v>
      </c>
      <c r="E11" s="9" t="s">
        <v>120</v>
      </c>
      <c r="F11" s="8" t="s">
        <v>121</v>
      </c>
    </row>
    <row r="12" customFormat="false" ht="29.85" hidden="false" customHeight="false" outlineLevel="0" collapsed="false">
      <c r="A12" s="8" t="s">
        <v>28</v>
      </c>
      <c r="B12" s="9" t="s">
        <v>86</v>
      </c>
      <c r="C12" s="8" t="s">
        <v>122</v>
      </c>
      <c r="D12" s="9" t="s">
        <v>123</v>
      </c>
      <c r="E12" s="9" t="s">
        <v>2</v>
      </c>
      <c r="F12" s="8" t="s">
        <v>124</v>
      </c>
    </row>
    <row r="13" customFormat="false" ht="29.85" hidden="false" customHeight="false" outlineLevel="0" collapsed="false">
      <c r="A13" s="8" t="s">
        <v>28</v>
      </c>
      <c r="B13" s="9" t="s">
        <v>93</v>
      </c>
      <c r="C13" s="8" t="s">
        <v>125</v>
      </c>
      <c r="D13" s="9" t="s">
        <v>126</v>
      </c>
      <c r="E13" s="9" t="s">
        <v>2</v>
      </c>
      <c r="F13" s="8" t="s">
        <v>127</v>
      </c>
    </row>
    <row r="14" customFormat="false" ht="29.85" hidden="false" customHeight="false" outlineLevel="0" collapsed="false">
      <c r="A14" s="8" t="s">
        <v>28</v>
      </c>
      <c r="B14" s="9" t="s">
        <v>86</v>
      </c>
      <c r="C14" s="8" t="s">
        <v>128</v>
      </c>
      <c r="D14" s="9" t="s">
        <v>129</v>
      </c>
      <c r="E14" s="9" t="s">
        <v>2</v>
      </c>
      <c r="F14" s="8" t="s">
        <v>127</v>
      </c>
    </row>
    <row r="15" customFormat="false" ht="29.85" hidden="false" customHeight="false" outlineLevel="0" collapsed="false">
      <c r="A15" s="8" t="s">
        <v>28</v>
      </c>
      <c r="B15" s="9" t="s">
        <v>114</v>
      </c>
      <c r="C15" s="8" t="s">
        <v>130</v>
      </c>
      <c r="D15" s="9" t="s">
        <v>131</v>
      </c>
      <c r="E15" s="9" t="s">
        <v>132</v>
      </c>
      <c r="F15" s="8"/>
    </row>
    <row r="16" customFormat="false" ht="29.85" hidden="false" customHeight="false" outlineLevel="0" collapsed="false">
      <c r="A16" s="8" t="s">
        <v>28</v>
      </c>
      <c r="B16" s="9" t="s">
        <v>86</v>
      </c>
      <c r="C16" s="9" t="s">
        <v>133</v>
      </c>
      <c r="D16" s="8" t="s">
        <v>134</v>
      </c>
      <c r="E16" s="9" t="s">
        <v>2</v>
      </c>
      <c r="F16" s="8" t="s">
        <v>127</v>
      </c>
    </row>
    <row r="17" customFormat="false" ht="29.85" hidden="false" customHeight="false" outlineLevel="0" collapsed="false">
      <c r="A17" s="8" t="s">
        <v>28</v>
      </c>
      <c r="B17" s="9" t="s">
        <v>86</v>
      </c>
      <c r="C17" s="8" t="s">
        <v>135</v>
      </c>
      <c r="D17" s="9" t="s">
        <v>136</v>
      </c>
      <c r="E17" s="9" t="s">
        <v>2</v>
      </c>
      <c r="F17" s="8" t="s">
        <v>137</v>
      </c>
    </row>
    <row r="18" customFormat="false" ht="29.85" hidden="false" customHeight="false" outlineLevel="0" collapsed="false">
      <c r="A18" s="8" t="s">
        <v>28</v>
      </c>
      <c r="B18" s="9" t="s">
        <v>86</v>
      </c>
      <c r="C18" s="8" t="s">
        <v>138</v>
      </c>
      <c r="D18" s="9" t="s">
        <v>139</v>
      </c>
      <c r="E18" s="9" t="s">
        <v>2</v>
      </c>
      <c r="F18" s="8" t="s">
        <v>140</v>
      </c>
    </row>
    <row r="19" customFormat="false" ht="29.85" hidden="false" customHeight="false" outlineLevel="0" collapsed="false">
      <c r="A19" s="8" t="s">
        <v>28</v>
      </c>
      <c r="B19" s="9" t="s">
        <v>86</v>
      </c>
      <c r="C19" s="8" t="s">
        <v>141</v>
      </c>
      <c r="D19" s="9" t="s">
        <v>142</v>
      </c>
      <c r="E19" s="9" t="s">
        <v>2</v>
      </c>
      <c r="F19" s="8" t="s">
        <v>143</v>
      </c>
    </row>
    <row r="20" customFormat="false" ht="29.85" hidden="false" customHeight="false" outlineLevel="0" collapsed="false">
      <c r="A20" s="8" t="s">
        <v>28</v>
      </c>
      <c r="B20" s="9" t="s">
        <v>86</v>
      </c>
      <c r="C20" s="8" t="s">
        <v>144</v>
      </c>
      <c r="D20" s="9" t="s">
        <v>145</v>
      </c>
      <c r="E20" s="9" t="s">
        <v>2</v>
      </c>
      <c r="F20" s="8" t="s">
        <v>146</v>
      </c>
    </row>
    <row r="21" customFormat="false" ht="29.85" hidden="false" customHeight="false" outlineLevel="0" collapsed="false">
      <c r="A21" s="8" t="s">
        <v>28</v>
      </c>
      <c r="B21" s="9" t="s">
        <v>86</v>
      </c>
      <c r="C21" s="8" t="s">
        <v>147</v>
      </c>
      <c r="D21" s="9" t="s">
        <v>148</v>
      </c>
      <c r="E21" s="9" t="s">
        <v>2</v>
      </c>
      <c r="F21" s="8" t="s">
        <v>149</v>
      </c>
    </row>
    <row r="22" customFormat="false" ht="58.2" hidden="false" customHeight="false" outlineLevel="0" collapsed="false">
      <c r="A22" s="8" t="s">
        <v>28</v>
      </c>
      <c r="B22" s="9" t="s">
        <v>150</v>
      </c>
      <c r="C22" s="9" t="s">
        <v>151</v>
      </c>
      <c r="D22" s="9" t="s">
        <v>152</v>
      </c>
      <c r="E22" s="9" t="s">
        <v>93</v>
      </c>
      <c r="F22" s="8" t="s">
        <v>149</v>
      </c>
    </row>
    <row r="23" customFormat="false" ht="44" hidden="false" customHeight="false" outlineLevel="0" collapsed="false">
      <c r="A23" s="8" t="s">
        <v>28</v>
      </c>
      <c r="B23" s="9" t="s">
        <v>86</v>
      </c>
      <c r="C23" s="8" t="s">
        <v>153</v>
      </c>
      <c r="D23" s="8" t="s">
        <v>154</v>
      </c>
      <c r="E23" s="9" t="s">
        <v>2</v>
      </c>
      <c r="F23" s="8" t="s">
        <v>155</v>
      </c>
    </row>
    <row r="24" customFormat="false" ht="29.85" hidden="false" customHeight="false" outlineLevel="0" collapsed="false">
      <c r="A24" s="8" t="s">
        <v>28</v>
      </c>
      <c r="B24" s="9" t="s">
        <v>156</v>
      </c>
      <c r="C24" s="8" t="s">
        <v>157</v>
      </c>
      <c r="D24" s="9" t="s">
        <v>158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86</v>
      </c>
      <c r="C25" s="8" t="s">
        <v>159</v>
      </c>
      <c r="D25" s="9" t="s">
        <v>160</v>
      </c>
      <c r="E25" s="9" t="s">
        <v>2</v>
      </c>
      <c r="F25" s="8" t="s">
        <v>161</v>
      </c>
    </row>
    <row r="26" customFormat="false" ht="44" hidden="false" customHeight="false" outlineLevel="0" collapsed="false">
      <c r="A26" s="8" t="s">
        <v>28</v>
      </c>
      <c r="B26" s="9" t="s">
        <v>86</v>
      </c>
      <c r="C26" s="8" t="s">
        <v>162</v>
      </c>
      <c r="D26" s="9" t="s">
        <v>163</v>
      </c>
      <c r="E26" s="9" t="s">
        <v>2</v>
      </c>
      <c r="F26" s="8" t="s">
        <v>164</v>
      </c>
    </row>
    <row r="27" customFormat="false" ht="29.85" hidden="false" customHeight="false" outlineLevel="0" collapsed="false">
      <c r="A27" s="8" t="s">
        <v>28</v>
      </c>
      <c r="B27" s="9" t="s">
        <v>86</v>
      </c>
      <c r="C27" s="8" t="s">
        <v>165</v>
      </c>
      <c r="D27" s="9" t="s">
        <v>166</v>
      </c>
      <c r="E27" s="9" t="s">
        <v>2</v>
      </c>
      <c r="F27" s="8" t="s">
        <v>167</v>
      </c>
    </row>
    <row r="28" customFormat="false" ht="58.2" hidden="false" customHeight="false" outlineLevel="0" collapsed="false">
      <c r="A28" s="8" t="s">
        <v>28</v>
      </c>
      <c r="B28" s="9" t="s">
        <v>86</v>
      </c>
      <c r="C28" s="8" t="s">
        <v>168</v>
      </c>
      <c r="D28" s="9" t="s">
        <v>169</v>
      </c>
      <c r="E28" s="9" t="s">
        <v>170</v>
      </c>
      <c r="F28" s="8" t="s">
        <v>171</v>
      </c>
    </row>
    <row r="29" customFormat="false" ht="44" hidden="false" customHeight="false" outlineLevel="0" collapsed="false">
      <c r="A29" s="8" t="s">
        <v>28</v>
      </c>
      <c r="B29" s="9" t="s">
        <v>86</v>
      </c>
      <c r="C29" s="8" t="s">
        <v>172</v>
      </c>
      <c r="D29" s="9" t="s">
        <v>173</v>
      </c>
      <c r="E29" s="9" t="s">
        <v>2</v>
      </c>
      <c r="F29" s="8" t="s">
        <v>174</v>
      </c>
    </row>
    <row r="30" customFormat="false" ht="29.85" hidden="false" customHeight="false" outlineLevel="0" collapsed="false">
      <c r="A30" s="8" t="s">
        <v>28</v>
      </c>
      <c r="B30" s="9" t="s">
        <v>156</v>
      </c>
      <c r="C30" s="8" t="s">
        <v>175</v>
      </c>
      <c r="D30" s="9" t="s">
        <v>176</v>
      </c>
      <c r="E30" s="8"/>
      <c r="F30" s="8"/>
    </row>
    <row r="31" customFormat="false" ht="29.85" hidden="false" customHeight="false" outlineLevel="0" collapsed="false">
      <c r="A31" s="8" t="s">
        <v>28</v>
      </c>
      <c r="B31" s="9" t="s">
        <v>86</v>
      </c>
      <c r="C31" s="8" t="s">
        <v>177</v>
      </c>
      <c r="D31" s="9" t="s">
        <v>178</v>
      </c>
      <c r="E31" s="9" t="s">
        <v>2</v>
      </c>
      <c r="F31" s="8" t="s">
        <v>179</v>
      </c>
    </row>
    <row r="32" customFormat="false" ht="58.2" hidden="false" customHeight="false" outlineLevel="0" collapsed="false">
      <c r="A32" s="8" t="s">
        <v>28</v>
      </c>
      <c r="B32" s="9" t="s">
        <v>86</v>
      </c>
      <c r="C32" s="8" t="s">
        <v>180</v>
      </c>
      <c r="D32" s="9" t="s">
        <v>181</v>
      </c>
      <c r="E32" s="9" t="s">
        <v>2</v>
      </c>
      <c r="F32" s="8" t="s">
        <v>182</v>
      </c>
    </row>
    <row r="33" customFormat="false" ht="44" hidden="false" customHeight="false" outlineLevel="0" collapsed="false">
      <c r="A33" s="8" t="s">
        <v>28</v>
      </c>
      <c r="B33" s="9" t="s">
        <v>150</v>
      </c>
      <c r="C33" s="8" t="s">
        <v>183</v>
      </c>
      <c r="D33" s="9" t="s">
        <v>184</v>
      </c>
      <c r="E33" s="9" t="s">
        <v>93</v>
      </c>
      <c r="F33" s="8" t="s">
        <v>182</v>
      </c>
    </row>
    <row r="34" customFormat="false" ht="29.85" hidden="false" customHeight="false" outlineLevel="0" collapsed="false">
      <c r="A34" s="8" t="s">
        <v>28</v>
      </c>
      <c r="B34" s="9" t="s">
        <v>156</v>
      </c>
      <c r="C34" s="8" t="s">
        <v>185</v>
      </c>
      <c r="D34" s="8" t="s">
        <v>186</v>
      </c>
      <c r="E34" s="8"/>
      <c r="F34" s="8"/>
    </row>
    <row r="35" customFormat="false" ht="44" hidden="false" customHeight="false" outlineLevel="0" collapsed="false">
      <c r="A35" s="8" t="s">
        <v>28</v>
      </c>
      <c r="B35" s="9" t="s">
        <v>86</v>
      </c>
      <c r="C35" s="8" t="s">
        <v>187</v>
      </c>
      <c r="D35" s="8" t="s">
        <v>188</v>
      </c>
      <c r="E35" s="9" t="s">
        <v>2</v>
      </c>
      <c r="F35" s="8" t="s">
        <v>189</v>
      </c>
    </row>
    <row r="36" customFormat="false" ht="29.85" hidden="false" customHeight="false" outlineLevel="0" collapsed="false">
      <c r="A36" s="8" t="s">
        <v>28</v>
      </c>
      <c r="B36" s="9" t="s">
        <v>103</v>
      </c>
      <c r="C36" s="9" t="s">
        <v>190</v>
      </c>
      <c r="D36" s="8" t="s">
        <v>191</v>
      </c>
      <c r="E36" s="9" t="s">
        <v>2</v>
      </c>
      <c r="F36" s="8"/>
    </row>
    <row r="37" customFormat="false" ht="58.2" hidden="false" customHeight="false" outlineLevel="0" collapsed="false">
      <c r="A37" s="8" t="s">
        <v>28</v>
      </c>
      <c r="B37" s="9" t="s">
        <v>86</v>
      </c>
      <c r="C37" s="9" t="s">
        <v>192</v>
      </c>
      <c r="D37" s="9" t="s">
        <v>193</v>
      </c>
      <c r="E37" s="9" t="s">
        <v>194</v>
      </c>
      <c r="F37" s="8" t="s">
        <v>195</v>
      </c>
    </row>
    <row r="38" customFormat="false" ht="44" hidden="false" customHeight="false" outlineLevel="0" collapsed="false">
      <c r="A38" s="8" t="s">
        <v>28</v>
      </c>
      <c r="B38" s="9" t="s">
        <v>86</v>
      </c>
      <c r="C38" s="9" t="s">
        <v>196</v>
      </c>
      <c r="D38" s="9" t="s">
        <v>197</v>
      </c>
      <c r="E38" s="9" t="s">
        <v>198</v>
      </c>
      <c r="F38" s="8"/>
    </row>
    <row r="39" customFormat="false" ht="29.85" hidden="false" customHeight="false" outlineLevel="0" collapsed="false">
      <c r="A39" s="8" t="s">
        <v>28</v>
      </c>
      <c r="B39" s="9" t="s">
        <v>199</v>
      </c>
      <c r="C39" s="9" t="s">
        <v>200</v>
      </c>
      <c r="D39" s="9" t="s">
        <v>201</v>
      </c>
      <c r="E39" s="9" t="s">
        <v>93</v>
      </c>
      <c r="F39" s="8"/>
    </row>
    <row r="40" customFormat="false" ht="44" hidden="false" customHeight="false" outlineLevel="0" collapsed="false">
      <c r="A40" s="8" t="s">
        <v>28</v>
      </c>
      <c r="B40" s="9" t="s">
        <v>114</v>
      </c>
      <c r="C40" s="9" t="s">
        <v>202</v>
      </c>
      <c r="D40" s="8" t="s">
        <v>203</v>
      </c>
      <c r="E40" s="9" t="s">
        <v>204</v>
      </c>
      <c r="F40" s="8"/>
    </row>
    <row r="41" customFormat="false" ht="44" hidden="false" customHeight="false" outlineLevel="0" collapsed="false">
      <c r="A41" s="8" t="s">
        <v>28</v>
      </c>
      <c r="B41" s="9" t="s">
        <v>86</v>
      </c>
      <c r="C41" s="9" t="s">
        <v>205</v>
      </c>
      <c r="D41" s="9" t="s">
        <v>206</v>
      </c>
      <c r="E41" s="9" t="s">
        <v>207</v>
      </c>
      <c r="F4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80</v>
      </c>
      <c r="B1" s="7" t="s">
        <v>208</v>
      </c>
      <c r="C1" s="7" t="s">
        <v>132</v>
      </c>
      <c r="D1" s="7" t="s">
        <v>209</v>
      </c>
      <c r="E1" s="7" t="s">
        <v>210</v>
      </c>
    </row>
    <row r="2" customFormat="false" ht="15" hidden="false" customHeight="false" outlineLevel="0" collapsed="false">
      <c r="A2" s="8" t="s">
        <v>85</v>
      </c>
      <c r="B2" s="8" t="n">
        <v>50</v>
      </c>
      <c r="C2" s="8" t="n">
        <v>50</v>
      </c>
      <c r="D2" s="10" t="n">
        <f aca="false">IFERROR(C2/B2,0)</f>
        <v>1</v>
      </c>
      <c r="E2" s="9" t="s">
        <v>211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212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213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214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215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216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217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218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219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220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221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222</v>
      </c>
    </row>
    <row r="14" customFormat="false" ht="15" hidden="false" customHeight="false" outlineLevel="0" collapsed="false">
      <c r="A14" s="8" t="s">
        <v>28</v>
      </c>
      <c r="B14" s="8" t="n">
        <v>76</v>
      </c>
      <c r="C14" s="8" t="n">
        <v>76</v>
      </c>
      <c r="D14" s="10" t="n">
        <f aca="false">IFERROR(C14/B14,0)</f>
        <v>1</v>
      </c>
      <c r="E14" s="9" t="s">
        <v>223</v>
      </c>
    </row>
    <row r="15" customFormat="false" ht="15" hidden="false" customHeight="false" outlineLevel="0" collapsed="false">
      <c r="A15" s="8" t="s">
        <v>28</v>
      </c>
      <c r="B15" s="8" t="n">
        <v>78</v>
      </c>
      <c r="C15" s="8" t="n">
        <v>78</v>
      </c>
      <c r="D15" s="10" t="n">
        <f aca="false">IFERROR(C15/B15,0)</f>
        <v>1</v>
      </c>
      <c r="E15" s="9" t="s">
        <v>224</v>
      </c>
    </row>
    <row r="16" customFormat="false" ht="15" hidden="false" customHeight="false" outlineLevel="0" collapsed="false">
      <c r="A16" s="8" t="s">
        <v>28</v>
      </c>
      <c r="B16" s="8" t="n">
        <v>80</v>
      </c>
      <c r="C16" s="8" t="n">
        <v>80</v>
      </c>
      <c r="D16" s="10" t="n">
        <f aca="false">IFERROR(C16/B16,0)</f>
        <v>1</v>
      </c>
      <c r="E16" s="9" t="s">
        <v>225</v>
      </c>
    </row>
    <row r="17" customFormat="false" ht="15" hidden="false" customHeight="false" outlineLevel="0" collapsed="false">
      <c r="A17" s="8" t="s">
        <v>28</v>
      </c>
      <c r="B17" s="8" t="n">
        <v>81</v>
      </c>
      <c r="C17" s="8" t="n">
        <v>81</v>
      </c>
      <c r="D17" s="10" t="n">
        <f aca="false">IFERROR(C17/B17,0)</f>
        <v>1</v>
      </c>
      <c r="E17" s="9" t="s">
        <v>226</v>
      </c>
    </row>
    <row r="18" customFormat="false" ht="15" hidden="false" customHeight="false" outlineLevel="0" collapsed="false">
      <c r="A18" s="8" t="s">
        <v>28</v>
      </c>
      <c r="B18" s="8" t="n">
        <v>83</v>
      </c>
      <c r="C18" s="8" t="n">
        <v>83</v>
      </c>
      <c r="D18" s="10" t="n">
        <f aca="false">IFERROR(C18/B18,0)</f>
        <v>1</v>
      </c>
      <c r="E18" s="9" t="s">
        <v>227</v>
      </c>
    </row>
    <row r="19" customFormat="false" ht="15" hidden="false" customHeight="false" outlineLevel="0" collapsed="false">
      <c r="A19" s="8" t="s">
        <v>28</v>
      </c>
      <c r="B19" s="8" t="n">
        <v>85</v>
      </c>
      <c r="C19" s="8" t="n">
        <v>85</v>
      </c>
      <c r="D19" s="10" t="n">
        <f aca="false">IFERROR(C19/B19,0)</f>
        <v>1</v>
      </c>
      <c r="E19" s="9" t="s">
        <v>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2026-10-28T03:26:52Z</dcterms:created>
  <dc:creator>openpyxl</dc:creator>
  <dc:description/>
  <dc:language>en-US</dc:language>
  <cp:lastModifiedBy/>
  <dcterms:modified xsi:type="dcterms:W3CDTF">2026-10-28T03:26:52Z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