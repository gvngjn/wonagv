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<sst xmlns="http://schemas.openxmlformats.org/spreadsheetml/2006/main" count="289" uniqueCount="166">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</sst>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8" headerRowCount="1" totalsRowCount="0" totalsRowShown="0">
  <autoFilter ref="A1:F28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5" headerRowCount="1" totalsRowCount="0" totalsRowShown="0">
  <autoFilter ref="A1:F15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4" headerRowCount="1" totalsRowCount="0" totalsRowShown="0">
  <autoFilter ref="A1:E14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COUNTA(로드맵!B2:B15)</f>
        <v>14</v>
      </c>
    </row>
    <row r="4" customFormat="false" ht="15" hidden="false" customHeight="false" outlineLevel="0" collapsed="false">
      <c r="A4" s="3" t="s">
        <v>2</v>
      </c>
      <c r="B4" s="2" t="n">
        <f aca="false">COUNTIF(로드맵!E2:E15,"완료")</f>
        <v>13</v>
      </c>
    </row>
    <row r="5" customFormat="false" ht="15" hidden="false" customHeight="false" outlineLevel="0" collapsed="false">
      <c r="A5" s="3" t="s">
        <v>3</v>
      </c>
      <c r="B5" s="2" t="n">
        <f aca="false">COUNTIF(로드맵!E2:E15,"진행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COUNTIF(로드맵!E2:E15,"대기")</f>
        <v>0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0.928571428571429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기록'!C2:C28)</f>
        <v>27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기록'!B2:B28,"사용자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INDEX(테스트!B2:B14,13)</f>
        <v>76</v>
      </c>
    </row>
    <row r="12" customFormat="false" ht="15" hidden="false" customHeight="false" outlineLevel="0" collapsed="false">
      <c r="A12" s="3" t="s">
        <v>9</v>
      </c>
      <c r="B12" s="2" t="n">
        <f aca="false">INDEX(테스트!C2:C14,13)</f>
        <v>76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3</v>
      </c>
      <c r="F15" s="8"/>
    </row>
  </sheetData>
  <conditionalFormatting sqref="E2:E15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58</v>
      </c>
      <c r="B1" s="7" t="s">
        <v>59</v>
      </c>
      <c r="C1" s="7" t="s">
        <v>20</v>
      </c>
      <c r="D1" s="7" t="s">
        <v>60</v>
      </c>
      <c r="E1" s="7" t="s">
        <v>61</v>
      </c>
      <c r="F1" s="7" t="s">
        <v>62</v>
      </c>
    </row>
    <row r="2" customFormat="false" ht="15" hidden="false" customHeight="false" outlineLevel="0" collapsed="false">
      <c r="A2" s="8" t="s">
        <v>63</v>
      </c>
      <c r="B2" s="9" t="s">
        <v>64</v>
      </c>
      <c r="C2" s="9" t="s">
        <v>65</v>
      </c>
      <c r="D2" s="9" t="s">
        <v>66</v>
      </c>
      <c r="E2" s="9" t="s">
        <v>2</v>
      </c>
      <c r="F2" s="8" t="s">
        <v>67</v>
      </c>
    </row>
    <row r="3" customFormat="false" ht="29.85" hidden="false" customHeight="false" outlineLevel="0" collapsed="false">
      <c r="A3" s="8" t="s">
        <v>63</v>
      </c>
      <c r="B3" s="9" t="s">
        <v>64</v>
      </c>
      <c r="C3" s="9" t="s">
        <v>68</v>
      </c>
      <c r="D3" s="8" t="s">
        <v>69</v>
      </c>
      <c r="E3" s="9" t="s">
        <v>2</v>
      </c>
      <c r="F3" s="8" t="s">
        <v>70</v>
      </c>
    </row>
    <row r="4" customFormat="false" ht="15" hidden="false" customHeight="false" outlineLevel="0" collapsed="false">
      <c r="A4" s="8" t="s">
        <v>63</v>
      </c>
      <c r="B4" s="9" t="s">
        <v>71</v>
      </c>
      <c r="C4" s="8" t="s">
        <v>72</v>
      </c>
      <c r="D4" s="8" t="s">
        <v>73</v>
      </c>
      <c r="E4" s="9" t="s">
        <v>74</v>
      </c>
      <c r="F4" s="8" t="s">
        <v>70</v>
      </c>
    </row>
    <row r="5" customFormat="false" ht="15" hidden="false" customHeight="false" outlineLevel="0" collapsed="false">
      <c r="A5" s="8" t="s">
        <v>63</v>
      </c>
      <c r="B5" s="9" t="s">
        <v>64</v>
      </c>
      <c r="C5" s="9" t="s">
        <v>75</v>
      </c>
      <c r="D5" s="9" t="s">
        <v>76</v>
      </c>
      <c r="E5" s="9" t="s">
        <v>2</v>
      </c>
      <c r="F5" s="8" t="s">
        <v>77</v>
      </c>
    </row>
    <row r="6" customFormat="false" ht="15" hidden="false" customHeight="false" outlineLevel="0" collapsed="false">
      <c r="A6" s="8" t="s">
        <v>63</v>
      </c>
      <c r="B6" s="9" t="s">
        <v>64</v>
      </c>
      <c r="C6" s="9" t="s">
        <v>78</v>
      </c>
      <c r="D6" s="8" t="s">
        <v>79</v>
      </c>
      <c r="E6" s="9" t="s">
        <v>2</v>
      </c>
      <c r="F6" s="8" t="s">
        <v>80</v>
      </c>
    </row>
    <row r="7" customFormat="false" ht="29.85" hidden="false" customHeight="false" outlineLevel="0" collapsed="false">
      <c r="A7" s="8" t="s">
        <v>63</v>
      </c>
      <c r="B7" s="9" t="s">
        <v>81</v>
      </c>
      <c r="C7" s="9" t="s">
        <v>82</v>
      </c>
      <c r="D7" s="9" t="s">
        <v>83</v>
      </c>
      <c r="E7" s="9" t="s">
        <v>71</v>
      </c>
      <c r="F7" s="8" t="s">
        <v>84</v>
      </c>
    </row>
    <row r="8" customFormat="false" ht="29.85" hidden="false" customHeight="false" outlineLevel="0" collapsed="false">
      <c r="A8" s="8" t="s">
        <v>63</v>
      </c>
      <c r="B8" s="9" t="s">
        <v>81</v>
      </c>
      <c r="C8" s="9" t="s">
        <v>85</v>
      </c>
      <c r="D8" s="9" t="s">
        <v>86</v>
      </c>
      <c r="E8" s="9" t="s">
        <v>71</v>
      </c>
      <c r="F8" s="8" t="s">
        <v>87</v>
      </c>
    </row>
    <row r="9" customFormat="false" ht="29.85" hidden="false" customHeight="false" outlineLevel="0" collapsed="false">
      <c r="A9" s="8" t="s">
        <v>63</v>
      </c>
      <c r="B9" s="9" t="s">
        <v>81</v>
      </c>
      <c r="C9" s="9" t="s">
        <v>88</v>
      </c>
      <c r="D9" s="9" t="s">
        <v>89</v>
      </c>
      <c r="E9" s="9" t="s">
        <v>90</v>
      </c>
      <c r="F9" s="8" t="s">
        <v>91</v>
      </c>
    </row>
    <row r="10" customFormat="false" ht="29.85" hidden="false" customHeight="false" outlineLevel="0" collapsed="false">
      <c r="A10" s="8" t="s">
        <v>28</v>
      </c>
      <c r="B10" s="9" t="s">
        <v>92</v>
      </c>
      <c r="C10" s="9" t="s">
        <v>93</v>
      </c>
      <c r="D10" s="9" t="s">
        <v>94</v>
      </c>
      <c r="E10" s="9" t="s">
        <v>95</v>
      </c>
      <c r="F10" s="8"/>
    </row>
    <row r="11" customFormat="false" ht="29.85" hidden="false" customHeight="false" outlineLevel="0" collapsed="false">
      <c r="A11" s="8" t="s">
        <v>28</v>
      </c>
      <c r="B11" s="9" t="s">
        <v>64</v>
      </c>
      <c r="C11" s="8" t="s">
        <v>96</v>
      </c>
      <c r="D11" s="9" t="s">
        <v>97</v>
      </c>
      <c r="E11" s="9" t="s">
        <v>98</v>
      </c>
      <c r="F11" s="8" t="s">
        <v>99</v>
      </c>
    </row>
    <row r="12" customFormat="false" ht="29.85" hidden="false" customHeight="false" outlineLevel="0" collapsed="false">
      <c r="A12" s="8" t="s">
        <v>28</v>
      </c>
      <c r="B12" s="9" t="s">
        <v>64</v>
      </c>
      <c r="C12" s="8" t="s">
        <v>100</v>
      </c>
      <c r="D12" s="9" t="s">
        <v>101</v>
      </c>
      <c r="E12" s="9" t="s">
        <v>2</v>
      </c>
      <c r="F12" s="8" t="s">
        <v>102</v>
      </c>
    </row>
    <row r="13" customFormat="false" ht="29.85" hidden="false" customHeight="false" outlineLevel="0" collapsed="false">
      <c r="A13" s="8" t="s">
        <v>28</v>
      </c>
      <c r="B13" s="9" t="s">
        <v>71</v>
      </c>
      <c r="C13" s="8" t="s">
        <v>103</v>
      </c>
      <c r="D13" s="9" t="s">
        <v>104</v>
      </c>
      <c r="E13" s="9" t="s">
        <v>2</v>
      </c>
      <c r="F13" s="8" t="s">
        <v>105</v>
      </c>
    </row>
    <row r="14" customFormat="false" ht="29.85" hidden="false" customHeight="false" outlineLevel="0" collapsed="false">
      <c r="A14" s="8" t="s">
        <v>28</v>
      </c>
      <c r="B14" s="9" t="s">
        <v>64</v>
      </c>
      <c r="C14" s="8" t="s">
        <v>106</v>
      </c>
      <c r="D14" s="9" t="s">
        <v>107</v>
      </c>
      <c r="E14" s="9" t="s">
        <v>2</v>
      </c>
      <c r="F14" s="8" t="s">
        <v>105</v>
      </c>
    </row>
    <row r="15" customFormat="false" ht="29.85" hidden="false" customHeight="false" outlineLevel="0" collapsed="false">
      <c r="A15" s="8" t="s">
        <v>28</v>
      </c>
      <c r="B15" s="9" t="s">
        <v>92</v>
      </c>
      <c r="C15" s="8" t="s">
        <v>108</v>
      </c>
      <c r="D15" s="9" t="s">
        <v>109</v>
      </c>
      <c r="E15" s="9" t="s">
        <v>110</v>
      </c>
      <c r="F15" s="8"/>
    </row>
    <row r="16" customFormat="false" ht="29.85" hidden="false" customHeight="false" outlineLevel="0" collapsed="false">
      <c r="A16" s="8" t="s">
        <v>28</v>
      </c>
      <c r="B16" s="9" t="s">
        <v>64</v>
      </c>
      <c r="C16" s="9" t="s">
        <v>111</v>
      </c>
      <c r="D16" s="8" t="s">
        <v>112</v>
      </c>
      <c r="E16" s="9" t="s">
        <v>2</v>
      </c>
      <c r="F16" s="8" t="s">
        <v>105</v>
      </c>
    </row>
    <row r="17" customFormat="false" ht="29.85" hidden="false" customHeight="false" outlineLevel="0" collapsed="false">
      <c r="A17" s="8" t="s">
        <v>28</v>
      </c>
      <c r="B17" s="9" t="s">
        <v>64</v>
      </c>
      <c r="C17" s="8" t="s">
        <v>113</v>
      </c>
      <c r="D17" s="9" t="s">
        <v>114</v>
      </c>
      <c r="E17" s="9" t="s">
        <v>2</v>
      </c>
      <c r="F17" s="8" t="s">
        <v>115</v>
      </c>
    </row>
    <row r="18" customFormat="false" ht="29.85" hidden="false" customHeight="false" outlineLevel="0" collapsed="false">
      <c r="A18" s="8" t="s">
        <v>28</v>
      </c>
      <c r="B18" s="9" t="s">
        <v>64</v>
      </c>
      <c r="C18" s="8" t="s">
        <v>116</v>
      </c>
      <c r="D18" s="9" t="s">
        <v>117</v>
      </c>
      <c r="E18" s="9" t="s">
        <v>2</v>
      </c>
      <c r="F18" s="8" t="s">
        <v>118</v>
      </c>
    </row>
    <row r="19" customFormat="false" ht="29.85" hidden="false" customHeight="false" outlineLevel="0" collapsed="false">
      <c r="A19" s="8" t="s">
        <v>28</v>
      </c>
      <c r="B19" s="9" t="s">
        <v>64</v>
      </c>
      <c r="C19" s="8" t="s">
        <v>119</v>
      </c>
      <c r="D19" s="9" t="s">
        <v>120</v>
      </c>
      <c r="E19" s="9" t="s">
        <v>2</v>
      </c>
      <c r="F19" s="8" t="s">
        <v>121</v>
      </c>
    </row>
    <row r="20" customFormat="false" ht="29.85" hidden="false" customHeight="false" outlineLevel="0" collapsed="false">
      <c r="A20" s="8" t="s">
        <v>28</v>
      </c>
      <c r="B20" s="9" t="s">
        <v>64</v>
      </c>
      <c r="C20" s="8" t="s">
        <v>122</v>
      </c>
      <c r="D20" s="9" t="s">
        <v>123</v>
      </c>
      <c r="E20" s="9" t="s">
        <v>2</v>
      </c>
      <c r="F20" s="8" t="s">
        <v>124</v>
      </c>
    </row>
    <row r="21" customFormat="false" ht="29.85" hidden="false" customHeight="false" outlineLevel="0" collapsed="false">
      <c r="A21" s="8" t="s">
        <v>28</v>
      </c>
      <c r="B21" s="9" t="s">
        <v>64</v>
      </c>
      <c r="C21" s="8" t="s">
        <v>125</v>
      </c>
      <c r="D21" s="9" t="s">
        <v>126</v>
      </c>
      <c r="E21" s="9" t="s">
        <v>2</v>
      </c>
      <c r="F21" s="8" t="s">
        <v>127</v>
      </c>
    </row>
    <row r="22" customFormat="false" ht="58.2" hidden="false" customHeight="false" outlineLevel="0" collapsed="false">
      <c r="A22" s="8" t="s">
        <v>28</v>
      </c>
      <c r="B22" s="9" t="s">
        <v>128</v>
      </c>
      <c r="C22" s="9" t="s">
        <v>129</v>
      </c>
      <c r="D22" s="9" t="s">
        <v>130</v>
      </c>
      <c r="E22" s="9" t="s">
        <v>71</v>
      </c>
      <c r="F22" s="8" t="s">
        <v>127</v>
      </c>
    </row>
    <row r="23" customFormat="false" ht="44" hidden="false" customHeight="false" outlineLevel="0" collapsed="false">
      <c r="A23" s="8" t="s">
        <v>28</v>
      </c>
      <c r="B23" s="9" t="s">
        <v>64</v>
      </c>
      <c r="C23" s="8" t="s">
        <v>131</v>
      </c>
      <c r="D23" s="8" t="s">
        <v>132</v>
      </c>
      <c r="E23" s="9" t="s">
        <v>2</v>
      </c>
      <c r="F23" s="8" t="s">
        <v>133</v>
      </c>
    </row>
    <row r="24" customFormat="false" ht="29.85" hidden="false" customHeight="false" outlineLevel="0" collapsed="false">
      <c r="A24" s="8" t="s">
        <v>28</v>
      </c>
      <c r="B24" s="9" t="s">
        <v>134</v>
      </c>
      <c r="C24" s="8" t="s">
        <v>135</v>
      </c>
      <c r="D24" s="9" t="s">
        <v>136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64</v>
      </c>
      <c r="C25" s="8" t="s">
        <v>137</v>
      </c>
      <c r="D25" s="9" t="s">
        <v>138</v>
      </c>
      <c r="E25" s="9" t="s">
        <v>2</v>
      </c>
      <c r="F25" s="8" t="s">
        <v>139</v>
      </c>
    </row>
    <row r="26" customFormat="false" ht="44" hidden="false" customHeight="false" outlineLevel="0" collapsed="false">
      <c r="A26" s="8" t="s">
        <v>28</v>
      </c>
      <c r="B26" s="9" t="s">
        <v>64</v>
      </c>
      <c r="C26" s="8" t="s">
        <v>140</v>
      </c>
      <c r="D26" s="9" t="s">
        <v>141</v>
      </c>
      <c r="E26" s="9" t="s">
        <v>2</v>
      </c>
      <c r="F26" s="8" t="s">
        <v>142</v>
      </c>
    </row>
    <row r="27" customFormat="false" ht="29.85" hidden="false" customHeight="false" outlineLevel="0" collapsed="false">
      <c r="A27" s="8" t="s">
        <v>28</v>
      </c>
      <c r="B27" s="9" t="s">
        <v>64</v>
      </c>
      <c r="C27" s="8" t="s">
        <v>143</v>
      </c>
      <c r="D27" s="9" t="s">
        <v>144</v>
      </c>
      <c r="E27" s="9" t="s">
        <v>2</v>
      </c>
      <c r="F27" s="8" t="s">
        <v>145</v>
      </c>
    </row>
    <row r="28" customFormat="false" ht="58.2" hidden="false" customHeight="false" outlineLevel="0" collapsed="false">
      <c r="A28" s="8" t="s">
        <v>28</v>
      </c>
      <c r="B28" s="9" t="s">
        <v>64</v>
      </c>
      <c r="C28" s="8" t="s">
        <v>146</v>
      </c>
      <c r="D28" s="9" t="s">
        <v>147</v>
      </c>
      <c r="E28" s="9" t="s">
        <v>148</v>
      </c>
      <c r="F28" s="8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58</v>
      </c>
      <c r="B1" s="7" t="s">
        <v>150</v>
      </c>
      <c r="C1" s="7" t="s">
        <v>110</v>
      </c>
      <c r="D1" s="7" t="s">
        <v>151</v>
      </c>
      <c r="E1" s="7" t="s">
        <v>152</v>
      </c>
    </row>
    <row r="2" customFormat="false" ht="15" hidden="false" customHeight="false" outlineLevel="0" collapsed="false">
      <c r="A2" s="8" t="s">
        <v>63</v>
      </c>
      <c r="B2" s="8" t="n">
        <v>50</v>
      </c>
      <c r="C2" s="8" t="n">
        <v>50</v>
      </c>
      <c r="D2" s="10" t="n">
        <f aca="false">IFERROR(C2/B2,0)</f>
        <v>1</v>
      </c>
      <c r="E2" s="9" t="s">
        <v>153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154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155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156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157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158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159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160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161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162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163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164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2026-10-28T02:41:43Z</dcterms:created>
  <dc:creator>openpyxl</dc:creator>
  <dc:description/>
  <dc:language>en-US</dc:language>
  <cp:lastModifiedBy/>
  <dcterms:modified xsi:type="dcterms:W3CDTF">2026-10-28T02:41:43Z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