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<sst xmlns="http://schemas.openxmlformats.org/spreadsheetml/2006/main" count="171" uniqueCount="109">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</sst>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16" headerRowCount="1" totalsRowCount="0" totalsRowShown="0">
  <autoFilter ref="A1:F16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0" headerRowCount="1" totalsRowCount="0" totalsRowShown="0">
  <autoFilter ref="A1:F1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5" headerRowCount="1" totalsRowCount="0" totalsRowShown="0">
  <autoFilter ref="A1:E5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COUNTA(로드맵!B2:B10)</f>
        <v>9</v>
      </c>
    </row>
    <row r="4" customFormat="false" ht="15" hidden="false" customHeight="false" outlineLevel="0" collapsed="false">
      <c r="A4" s="3" t="s">
        <v>2</v>
      </c>
      <c r="B4" s="2" t="n">
        <f aca="false">COUNTIF(로드맵!E2:E10,"완료")</f>
        <v>3</v>
      </c>
    </row>
    <row r="5" customFormat="false" ht="15" hidden="false" customHeight="false" outlineLevel="0" collapsed="false">
      <c r="A5" s="3" t="s">
        <v>3</v>
      </c>
      <c r="B5" s="2" t="n">
        <f aca="false">COUNTIF(로드맵!E2:E10,"진행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COUNTIF(로드맵!E2:E10,"대기")</f>
        <v>5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0.333333333333333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기록'!C2:C16)</f>
        <v>15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기록'!B2:B16,"사용자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INDEX(테스트!B2:B5,4)</f>
        <v>58</v>
      </c>
    </row>
    <row r="12" customFormat="false" ht="15" hidden="false" customHeight="false" outlineLevel="0" collapsed="false">
      <c r="A12" s="3" t="s">
        <v>9</v>
      </c>
      <c r="B12" s="2" t="n">
        <f aca="false">INDEX(테스트!C2:C5,4)</f>
        <v>58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3</v>
      </c>
      <c r="F5" s="8"/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4</v>
      </c>
      <c r="F6" s="8"/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4</v>
      </c>
      <c r="F7" s="8"/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4</v>
      </c>
      <c r="F8" s="8"/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4</v>
      </c>
      <c r="F9" s="8"/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4</v>
      </c>
      <c r="F10" s="8"/>
    </row>
  </sheetData>
  <conditionalFormatting sqref="E2:E10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47</v>
      </c>
      <c r="B1" s="7" t="s">
        <v>48</v>
      </c>
      <c r="C1" s="7" t="s">
        <v>20</v>
      </c>
      <c r="D1" s="7" t="s">
        <v>49</v>
      </c>
      <c r="E1" s="7" t="s">
        <v>50</v>
      </c>
      <c r="F1" s="7" t="s">
        <v>51</v>
      </c>
    </row>
    <row r="2" customFormat="false" ht="15" hidden="false" customHeight="false" outlineLevel="0" collapsed="false">
      <c r="A2" s="8" t="s">
        <v>52</v>
      </c>
      <c r="B2" s="9" t="s">
        <v>53</v>
      </c>
      <c r="C2" s="9" t="s">
        <v>54</v>
      </c>
      <c r="D2" s="9" t="s">
        <v>55</v>
      </c>
      <c r="E2" s="9" t="s">
        <v>2</v>
      </c>
      <c r="F2" s="8" t="s">
        <v>56</v>
      </c>
    </row>
    <row r="3" customFormat="false" ht="29.85" hidden="false" customHeight="false" outlineLevel="0" collapsed="false">
      <c r="A3" s="8" t="s">
        <v>52</v>
      </c>
      <c r="B3" s="9" t="s">
        <v>53</v>
      </c>
      <c r="C3" s="9" t="s">
        <v>57</v>
      </c>
      <c r="D3" s="8" t="s">
        <v>58</v>
      </c>
      <c r="E3" s="9" t="s">
        <v>2</v>
      </c>
      <c r="F3" s="8" t="s">
        <v>59</v>
      </c>
    </row>
    <row r="4" customFormat="false" ht="15" hidden="false" customHeight="false" outlineLevel="0" collapsed="false">
      <c r="A4" s="8" t="s">
        <v>52</v>
      </c>
      <c r="B4" s="9" t="s">
        <v>60</v>
      </c>
      <c r="C4" s="8" t="s">
        <v>61</v>
      </c>
      <c r="D4" s="8" t="s">
        <v>62</v>
      </c>
      <c r="E4" s="9" t="s">
        <v>63</v>
      </c>
      <c r="F4" s="8" t="s">
        <v>59</v>
      </c>
    </row>
    <row r="5" customFormat="false" ht="15" hidden="false" customHeight="false" outlineLevel="0" collapsed="false">
      <c r="A5" s="8" t="s">
        <v>52</v>
      </c>
      <c r="B5" s="9" t="s">
        <v>53</v>
      </c>
      <c r="C5" s="9" t="s">
        <v>64</v>
      </c>
      <c r="D5" s="9" t="s">
        <v>65</v>
      </c>
      <c r="E5" s="9" t="s">
        <v>2</v>
      </c>
      <c r="F5" s="8" t="s">
        <v>66</v>
      </c>
    </row>
    <row r="6" customFormat="false" ht="15" hidden="false" customHeight="false" outlineLevel="0" collapsed="false">
      <c r="A6" s="8" t="s">
        <v>52</v>
      </c>
      <c r="B6" s="9" t="s">
        <v>53</v>
      </c>
      <c r="C6" s="9" t="s">
        <v>67</v>
      </c>
      <c r="D6" s="8" t="s">
        <v>68</v>
      </c>
      <c r="E6" s="9" t="s">
        <v>2</v>
      </c>
      <c r="F6" s="8" t="s">
        <v>69</v>
      </c>
    </row>
    <row r="7" customFormat="false" ht="29.85" hidden="false" customHeight="false" outlineLevel="0" collapsed="false">
      <c r="A7" s="8" t="s">
        <v>52</v>
      </c>
      <c r="B7" s="9" t="s">
        <v>70</v>
      </c>
      <c r="C7" s="9" t="s">
        <v>71</v>
      </c>
      <c r="D7" s="9" t="s">
        <v>72</v>
      </c>
      <c r="E7" s="9" t="s">
        <v>60</v>
      </c>
      <c r="F7" s="8" t="s">
        <v>73</v>
      </c>
    </row>
    <row r="8" customFormat="false" ht="29.85" hidden="false" customHeight="false" outlineLevel="0" collapsed="false">
      <c r="A8" s="8" t="s">
        <v>52</v>
      </c>
      <c r="B8" s="9" t="s">
        <v>70</v>
      </c>
      <c r="C8" s="9" t="s">
        <v>74</v>
      </c>
      <c r="D8" s="9" t="s">
        <v>75</v>
      </c>
      <c r="E8" s="9" t="s">
        <v>60</v>
      </c>
      <c r="F8" s="8" t="s">
        <v>76</v>
      </c>
    </row>
    <row r="9" customFormat="false" ht="29.85" hidden="false" customHeight="false" outlineLevel="0" collapsed="false">
      <c r="A9" s="8" t="s">
        <v>52</v>
      </c>
      <c r="B9" s="9" t="s">
        <v>70</v>
      </c>
      <c r="C9" s="9" t="s">
        <v>77</v>
      </c>
      <c r="D9" s="9" t="s">
        <v>78</v>
      </c>
      <c r="E9" s="9" t="s">
        <v>79</v>
      </c>
      <c r="F9" s="8" t="s">
        <v>80</v>
      </c>
    </row>
    <row r="10" customFormat="false" ht="29.85" hidden="false" customHeight="false" outlineLevel="0" collapsed="false">
      <c r="A10" s="8" t="s">
        <v>28</v>
      </c>
      <c r="B10" s="9" t="s">
        <v>81</v>
      </c>
      <c r="C10" s="9" t="s">
        <v>82</v>
      </c>
      <c r="D10" s="9" t="s">
        <v>83</v>
      </c>
      <c r="E10" s="9" t="s">
        <v>84</v>
      </c>
      <c r="F10" s="8"/>
    </row>
    <row r="11" customFormat="false" ht="29.85" hidden="false" customHeight="false" outlineLevel="0" collapsed="false">
      <c r="A11" s="8" t="s">
        <v>28</v>
      </c>
      <c r="B11" s="9" t="s">
        <v>53</v>
      </c>
      <c r="C11" s="8" t="s">
        <v>85</v>
      </c>
      <c r="D11" s="9" t="s">
        <v>86</v>
      </c>
      <c r="E11" s="9" t="s">
        <v>87</v>
      </c>
      <c r="F11" s="8" t="s">
        <v>88</v>
      </c>
    </row>
    <row r="12" customFormat="false" ht="29.85" hidden="false" customHeight="false" outlineLevel="0" collapsed="false">
      <c r="A12" s="8" t="s">
        <v>28</v>
      </c>
      <c r="B12" s="9" t="s">
        <v>53</v>
      </c>
      <c r="C12" s="8" t="s">
        <v>89</v>
      </c>
      <c r="D12" s="9" t="s">
        <v>90</v>
      </c>
      <c r="E12" s="9" t="s">
        <v>2</v>
      </c>
      <c r="F12" s="8" t="s">
        <v>91</v>
      </c>
    </row>
    <row r="13" customFormat="false" ht="29.85" hidden="false" customHeight="false" outlineLevel="0" collapsed="false">
      <c r="A13" s="8" t="s">
        <v>28</v>
      </c>
      <c r="B13" s="9" t="s">
        <v>60</v>
      </c>
      <c r="C13" s="8" t="s">
        <v>92</v>
      </c>
      <c r="D13" s="9" t="s">
        <v>93</v>
      </c>
      <c r="E13" s="9" t="s">
        <v>2</v>
      </c>
      <c r="F13" s="8" t="s">
        <v>94</v>
      </c>
    </row>
    <row r="14" customFormat="false" ht="29.85" hidden="false" customHeight="false" outlineLevel="0" collapsed="false">
      <c r="A14" s="8" t="s">
        <v>28</v>
      </c>
      <c r="B14" s="9" t="s">
        <v>53</v>
      </c>
      <c r="C14" s="8" t="s">
        <v>95</v>
      </c>
      <c r="D14" s="9" t="s">
        <v>96</v>
      </c>
      <c r="E14" s="9" t="s">
        <v>2</v>
      </c>
      <c r="F14" s="8" t="s">
        <v>94</v>
      </c>
    </row>
    <row r="15" customFormat="false" ht="29.85" hidden="false" customHeight="false" outlineLevel="0" collapsed="false">
      <c r="A15" s="8" t="s">
        <v>28</v>
      </c>
      <c r="B15" s="9" t="s">
        <v>81</v>
      </c>
      <c r="C15" s="8" t="s">
        <v>97</v>
      </c>
      <c r="D15" s="9" t="s">
        <v>98</v>
      </c>
      <c r="E15" s="9" t="s">
        <v>99</v>
      </c>
      <c r="F15" s="8"/>
    </row>
    <row r="16" customFormat="false" ht="29.85" hidden="false" customHeight="false" outlineLevel="0" collapsed="false">
      <c r="A16" s="8" t="s">
        <v>28</v>
      </c>
      <c r="B16" s="9" t="s">
        <v>53</v>
      </c>
      <c r="C16" s="9" t="s">
        <v>100</v>
      </c>
      <c r="D16" s="8" t="s">
        <v>101</v>
      </c>
      <c r="E16" s="9" t="s">
        <v>2</v>
      </c>
      <c r="F16" s="8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47</v>
      </c>
      <c r="B1" s="7" t="s">
        <v>102</v>
      </c>
      <c r="C1" s="7" t="s">
        <v>99</v>
      </c>
      <c r="D1" s="7" t="s">
        <v>103</v>
      </c>
      <c r="E1" s="7" t="s">
        <v>104</v>
      </c>
    </row>
    <row r="2" customFormat="false" ht="15" hidden="false" customHeight="false" outlineLevel="0" collapsed="false">
      <c r="A2" s="8" t="s">
        <v>52</v>
      </c>
      <c r="B2" s="8" t="n">
        <v>50</v>
      </c>
      <c r="C2" s="8" t="n">
        <v>50</v>
      </c>
      <c r="D2" s="10" t="n">
        <f aca="false">IFERROR(C2/B2,0)</f>
        <v>1</v>
      </c>
      <c r="E2" s="9" t="s">
        <v>105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106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107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2026-10-28T02:07:37Z</dcterms:created>
  <dc:creator>openpyxl</dc:creator>
  <dc:description/>
  <dc:language>en-US</dc:language>
  <cp:lastModifiedBy/>
  <dcterms:modified xsi:type="dcterms:W3CDTF">2026-10-28T02:07:37Z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