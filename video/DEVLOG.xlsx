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로드맵" sheetId="2" state="visible" r:id="rId4"/>
    <sheet name="개발 기록" sheetId="3" state="visible" r:id="rId5"/>
    <sheet name="테스트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<sst xmlns="http://schemas.openxmlformats.org/spreadsheetml/2006/main" count="613" uniqueCount="322">
  <si>
    <r>
      <rPr>
        <b val="true"/>
        <sz val="16"/>
        <rFont val="Arial"/>
        <family val="0"/>
        <charset val="1"/>
      </rPr>
      <t xml:space="preserve">ReelCut </t>
    </r>
    <r>
      <rPr>
        <b val="true"/>
        <sz val="16"/>
        <rFont val="Noto Sans CJK SC"/>
        <family val="2"/>
      </rPr>
      <t xml:space="preserve">개발 일지</t>
    </r>
  </si>
  <si>
    <t xml:space="preserve">로드맵 항목 수</t>
  </si>
  <si>
    <t xml:space="preserve">완료</t>
  </si>
  <si>
    <t xml:space="preserve">진행 중</t>
  </si>
  <si>
    <t xml:space="preserve">대기</t>
  </si>
  <si>
    <t xml:space="preserve">진행률</t>
  </si>
  <si>
    <t xml:space="preserve">기록 수</t>
  </si>
  <si>
    <t xml:space="preserve">사용자 제보 처리</t>
  </si>
  <si>
    <t xml:space="preserve">최근 테스트 수</t>
  </si>
  <si>
    <t xml:space="preserve">최근 테스트 통과</t>
  </si>
  <si>
    <t xml:space="preserve">우선순위 기준</t>
  </si>
  <si>
    <r>
      <rPr>
        <sz val="10"/>
        <rFont val="Noto Sans CJK SC"/>
        <family val="2"/>
      </rPr>
      <t xml:space="preserve">기준 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</si>
  <si>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작업이 날아가거나 결과물이 잘못 나오는 문제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데이터 손실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오동작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</si>
  <si>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기준 </t>
    </r>
    <r>
      <rPr>
        <sz val="10"/>
        <rFont val="Arial"/>
        <family val="0"/>
        <charset val="1"/>
      </rPr>
      <t xml:space="preserve">2</t>
    </r>
  </si>
  <si>
    <t xml:space="preserve">사용자가 직접 겪고 알려준 불편</t>
  </si>
  <si>
    <r>
      <rPr>
        <sz val="10"/>
        <rFont val="Noto Sans CJK SC"/>
        <family val="2"/>
      </rPr>
      <t xml:space="preserve">기준 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</si>
  <si>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매번 쓰는 흐름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편집 → 미리보기 → 내보내기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체감 속도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편의</t>
    </r>
  </si>
  <si>
    <r>
      <rPr>
        <sz val="10"/>
        <rFont val="Noto Sans CJK SC"/>
        <family val="2"/>
      </rPr>
      <t xml:space="preserve">기준 </t>
    </r>
    <r>
      <rPr>
        <sz val="10"/>
        <rFont val="Arial"/>
        <family val="0"/>
        <charset val="1"/>
      </rPr>
      <t xml:space="preserve">4</t>
    </r>
  </si>
  <si>
    <t xml:space="preserve">결과물 완성도를 높이는 새 기능</t>
  </si>
  <si>
    <t xml:space="preserve">순위</t>
  </si>
  <si>
    <t xml:space="preserve">항목</t>
  </si>
  <si>
    <t xml:space="preserve">기준</t>
  </si>
  <si>
    <t xml:space="preserve">이유</t>
  </si>
  <si>
    <t xml:space="preserve">상태</t>
  </si>
  <si>
    <t xml:space="preserve">완료일</t>
  </si>
  <si>
    <r>
      <rPr>
        <sz val="10"/>
        <color rgb="FF000000"/>
        <rFont val="Noto Sans CJK SC"/>
        <family val="2"/>
      </rPr>
      <t xml:space="preserve">렌더링 병렬화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조각을 여러 개 동시에 인코딩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</si>
  <si>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기준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</si>
  <si>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Noto Sans CJK SC"/>
        <family val="2"/>
      </rPr>
      <t xml:space="preserve">비트 맞춤은 조각이 수백 개라 느림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기준 정하기 전에 시작</t>
    </r>
    <r>
      <rPr>
        <sz val="10"/>
        <color rgb="FF000000"/>
        <rFont val="Arial"/>
        <family val="0"/>
        <charset val="1"/>
      </rPr>
      <t xml:space="preserve">)</t>
    </r>
  </si>
  <si>
    <t xml:space="preserve">2026-10-28</t>
  </si>
  <si>
    <r>
      <rPr>
        <sz val="10"/>
        <color rgb="FF000000"/>
        <rFont val="Noto Sans CJK SC"/>
        <family val="2"/>
      </rPr>
      <t xml:space="preserve">자동 저장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다음 실행 때 복구</t>
    </r>
  </si>
  <si>
    <r>
      <rPr>
        <sz val="10"/>
        <color rgb="FF000000"/>
        <rFont val="Noto Sans CJK SC"/>
        <family val="2"/>
      </rPr>
      <t xml:space="preserve">기준 </t>
    </r>
    <r>
      <rPr>
        <sz val="10"/>
        <color rgb="FF000000"/>
        <rFont val="Arial"/>
        <family val="0"/>
        <charset val="1"/>
      </rPr>
      <t xml:space="preserve">1</t>
    </r>
  </si>
  <si>
    <t xml:space="preserve">실수로 닫거나 오류로 꺼지면 작업이 날아감</t>
  </si>
  <si>
    <r>
      <rPr>
        <sz val="10"/>
        <color rgb="FF000000"/>
        <rFont val="Noto Sans CJK SC"/>
        <family val="2"/>
      </rPr>
      <t xml:space="preserve">취소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오류 처리 다듬기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취소 시 파일 보호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옮겨진 파일 다시 연결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쉬운 오류 문구</t>
    </r>
    <r>
      <rPr>
        <sz val="10"/>
        <color rgb="FF000000"/>
        <rFont val="Arial"/>
        <family val="0"/>
        <charset val="1"/>
      </rPr>
      <t xml:space="preserve">)</t>
    </r>
  </si>
  <si>
    <t xml:space="preserve">최종 단계에서 취소하면 깨진 파일이 남고 기존 영상이 덮어써짐</t>
  </si>
  <si>
    <t xml:space="preserve">진행률에 남은 시간 표시</t>
  </si>
  <si>
    <t xml:space="preserve">긴 렌더링에서 언제 끝날지 알 수 없음</t>
  </si>
  <si>
    <t xml:space="preserve">클립 목록 썸네일</t>
  </si>
  <si>
    <t xml:space="preserve">파일 이름만으로는 어떤 영상인지 구분이 어려움</t>
  </si>
  <si>
    <r>
      <rPr>
        <sz val="10"/>
        <color rgb="FF000000"/>
        <rFont val="Noto Sans CJK SC"/>
        <family val="2"/>
      </rPr>
      <t xml:space="preserve">음량 자동 맞춤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유튜브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릴스 권장 음량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</si>
  <si>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기준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</si>
  <si>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Noto Sans CJK SC"/>
        <family val="2"/>
      </rPr>
      <t xml:space="preserve">노래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원본 소리 크기가 들쭉날쭉</t>
    </r>
  </si>
  <si>
    <r>
      <rPr>
        <sz val="10"/>
        <color rgb="FF000000"/>
        <rFont val="Noto Sans CJK SC"/>
        <family val="2"/>
      </rPr>
      <t xml:space="preserve">영상 시작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끝 페이드 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아웃</t>
    </r>
  </si>
  <si>
    <r>
      <rPr>
        <sz val="10"/>
        <color rgb="FF000000"/>
        <rFont val="Noto Sans CJK SC"/>
        <family val="2"/>
      </rPr>
      <t xml:space="preserve">갑자기 시작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끝나는 느낌 완화</t>
    </r>
  </si>
  <si>
    <r>
      <rPr>
        <sz val="10"/>
        <color rgb="FF000000"/>
        <rFont val="Noto Sans CJK SC"/>
        <family val="2"/>
      </rPr>
      <t xml:space="preserve">비트 컷 전환 효과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짧은 플래시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줌 등</t>
    </r>
    <r>
      <rPr>
        <sz val="10"/>
        <color rgb="FF000000"/>
        <rFont val="Arial"/>
        <family val="0"/>
        <charset val="1"/>
      </rPr>
      <t xml:space="preserve">)</t>
    </r>
  </si>
  <si>
    <t xml:space="preserve">비트 맞춤 영상의 완성도</t>
  </si>
  <si>
    <t xml:space="preserve">제목 텍스트 넣기</t>
  </si>
  <si>
    <t xml:space="preserve">자막과 별개로 큰 제목이 필요한 경우</t>
  </si>
  <si>
    <r>
      <rPr>
        <sz val="10"/>
        <color rgb="FF000000"/>
        <rFont val="Noto Sans CJK SC"/>
        <family val="2"/>
      </rPr>
      <t xml:space="preserve">내보내기 전 디스크 공간 확인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내보낸 뒤 결과 자동 검사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길이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화면 크기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소리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</si>
  <si>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오래 걸린 렌더가 끝에서 공간 부족으로 실패하거나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잘못된 결과를 모르고 올리는 일 방지</t>
    </r>
  </si>
  <si>
    <r>
      <rPr>
        <sz val="10"/>
        <color rgb="FF000000"/>
        <rFont val="Noto Sans CJK SC"/>
        <family val="2"/>
      </rPr>
      <t xml:space="preserve">실행 취소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다시 실행 </t>
    </r>
    <r>
      <rPr>
        <sz val="10"/>
        <color rgb="FF000000"/>
        <rFont val="Arial"/>
        <family val="0"/>
        <charset val="1"/>
      </rPr>
      <t xml:space="preserve">(Ctrl+Z / Ctrl+Y)</t>
    </r>
  </si>
  <si>
    <t xml:space="preserve">클립을 실수로 지우면 자르기 설정까지 날아감</t>
  </si>
  <si>
    <r>
      <rPr>
        <sz val="10"/>
        <color rgb="FF000000"/>
        <rFont val="Noto Sans CJK SC"/>
        <family val="2"/>
      </rPr>
      <t xml:space="preserve">미리보기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결과를 </t>
    </r>
    <r>
      <rPr>
        <sz val="10"/>
        <color rgb="FF000000"/>
        <rFont val="Arial"/>
        <family val="0"/>
        <charset val="1"/>
      </rPr>
      <t xml:space="preserve">Windows </t>
    </r>
    <r>
      <rPr>
        <sz val="10"/>
        <color rgb="FF000000"/>
        <rFont val="Noto Sans CJK SC"/>
        <family val="2"/>
      </rPr>
      <t xml:space="preserve">기본 플레이어로 열기 버튼</t>
    </r>
  </si>
  <si>
    <r>
      <rPr>
        <sz val="10"/>
        <color rgb="FF000000"/>
        <rFont val="Noto Sans CJK SC"/>
        <family val="2"/>
      </rPr>
      <t xml:space="preserve">기준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</si>
  <si>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노래 늘어짐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제보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앱 재생기 문제인지 파일 문제인지 바로 가를 수 있게</t>
    </r>
  </si>
  <si>
    <r>
      <rPr>
        <sz val="10"/>
        <color rgb="FF000000"/>
        <rFont val="Noto Sans CJK SC"/>
        <family val="2"/>
      </rPr>
      <t xml:space="preserve">조각 캐시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같은 조각은 다시 인코딩하지 않기</t>
    </r>
  </si>
  <si>
    <r>
      <rPr>
        <sz val="10"/>
        <color rgb="FF000000"/>
        <rFont val="Noto Sans CJK SC"/>
        <family val="2"/>
      </rPr>
      <t xml:space="preserve">자막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제목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음량만 바꿔 미리보기를 다시 만들 때 처음부터 다시 만들어 느림</t>
    </r>
  </si>
  <si>
    <r>
      <rPr>
        <sz val="10"/>
        <color rgb="FF000000"/>
        <rFont val="Noto Sans CJK SC"/>
        <family val="2"/>
      </rPr>
      <t xml:space="preserve">클립별 소리 크기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음소거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재생 속도</t>
    </r>
  </si>
  <si>
    <t xml:space="preserve">클립마다 원본 소리 크기가 달라 개별 조절이 필요</t>
  </si>
  <si>
    <r>
      <rPr>
        <sz val="10"/>
        <color rgb="FF000000"/>
        <rFont val="Noto Sans CJK SC"/>
        <family val="2"/>
      </rPr>
      <t xml:space="preserve">자동 자막 실제 모델로 검증 </t>
    </r>
    <r>
      <rPr>
        <sz val="10"/>
        <color rgb="FF000000"/>
        <rFont val="Arial"/>
        <family val="0"/>
        <charset val="1"/>
      </rPr>
      <t xml:space="preserve">(Windows</t>
    </r>
    <r>
      <rPr>
        <sz val="10"/>
        <color rgb="FF000000"/>
        <rFont val="Noto Sans CJK SC"/>
        <family val="2"/>
      </rPr>
      <t xml:space="preserve">에서 첫 다운로드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한국어 인식</t>
    </r>
    <r>
      <rPr>
        <sz val="10"/>
        <color rgb="FF000000"/>
        <rFont val="Arial"/>
        <family val="0"/>
        <charset val="1"/>
      </rPr>
      <t xml:space="preserve">)</t>
    </r>
  </si>
  <si>
    <t xml:space="preserve">이 서버에서는 모델을 받을 수 없어 가짜 모델로만 확인함</t>
  </si>
  <si>
    <r>
      <rPr>
        <sz val="10"/>
        <color rgb="FF000000"/>
        <rFont val="Noto Sans CJK SC"/>
        <family val="2"/>
      </rPr>
      <t xml:space="preserve">미리보기 재생기 소리 늘어짐 원인 확정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사용자 확인 결과에 따라</t>
    </r>
    <r>
      <rPr>
        <sz val="10"/>
        <color rgb="FF000000"/>
        <rFont val="Arial"/>
        <family val="0"/>
        <charset val="1"/>
      </rPr>
      <t xml:space="preserve">)</t>
    </r>
  </si>
  <si>
    <t xml:space="preserve">외부 플레이어 비교 결과를 받아서 결정</t>
  </si>
  <si>
    <r>
      <rPr>
        <sz val="10"/>
        <color rgb="FF000000"/>
        <rFont val="Noto Sans CJK SC"/>
        <family val="2"/>
      </rPr>
      <t xml:space="preserve">타임라인 막대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완성 영상에서 각 클립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컷 위치를 한눈에</t>
    </r>
    <r>
      <rPr>
        <sz val="10"/>
        <color rgb="FF000000"/>
        <rFont val="Arial"/>
        <family val="0"/>
        <charset val="1"/>
      </rPr>
      <t xml:space="preserve">)</t>
    </r>
  </si>
  <si>
    <t xml:space="preserve">클립이 많아지면 목록만으로는 전체 흐름이 안 보임</t>
  </si>
  <si>
    <r>
      <rPr>
        <sz val="10"/>
        <color rgb="FF000000"/>
        <rFont val="Noto Sans CJK SC"/>
        <family val="2"/>
      </rPr>
      <t xml:space="preserve">비트 강약 반영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센 비트에서만 컷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후렴구에서 더 빠르게</t>
    </r>
    <r>
      <rPr>
        <sz val="10"/>
        <color rgb="FF000000"/>
        <rFont val="Arial"/>
        <family val="0"/>
        <charset val="1"/>
      </rPr>
      <t xml:space="preserve">)</t>
    </r>
  </si>
  <si>
    <t xml:space="preserve">모든 비트에서 똑같이 바뀌면 단조로움</t>
  </si>
  <si>
    <r>
      <rPr>
        <sz val="10"/>
        <color rgb="FF000000"/>
        <rFont val="Noto Sans CJK SC"/>
        <family val="2"/>
      </rPr>
      <t xml:space="preserve">오류 기록 파일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예상 못한 오류 안내 창</t>
    </r>
  </si>
  <si>
    <r>
      <rPr>
        <sz val="10"/>
        <color rgb="FF000000"/>
        <rFont val="Noto Sans CJK SC"/>
        <family val="2"/>
      </rPr>
      <t xml:space="preserve">사용자 </t>
    </r>
    <r>
      <rPr>
        <sz val="10"/>
        <color rgb="FF000000"/>
        <rFont val="Arial"/>
        <family val="0"/>
        <charset val="1"/>
      </rPr>
      <t xml:space="preserve">PC</t>
    </r>
    <r>
      <rPr>
        <sz val="10"/>
        <color rgb="FF000000"/>
        <rFont val="Noto Sans CJK SC"/>
        <family val="2"/>
      </rPr>
      <t xml:space="preserve">에서 생긴 문제를 원인까지 추적할 방법이 없음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지금은 메시지 한 줄뿐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</si>
  <si>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클립 개수 </t>
    </r>
    <r>
      <rPr>
        <sz val="10"/>
        <color rgb="FF000000"/>
        <rFont val="Arial"/>
        <family val="0"/>
        <charset val="1"/>
      </rPr>
      <t xml:space="preserve">× N</t>
    </r>
    <r>
      <rPr>
        <sz val="10"/>
        <color rgb="FF000000"/>
        <rFont val="Noto Sans CJK SC"/>
        <family val="2"/>
      </rPr>
      <t xml:space="preserve">초로 영상 길이 정하기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클립마다 한 컷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노래도 거기서 끝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</si>
  <si>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사용자 요청</t>
    </r>
    <r>
      <rPr>
        <sz val="10"/>
        <color rgb="FF000000"/>
        <rFont val="Arial"/>
        <family val="0"/>
        <charset val="1"/>
      </rPr>
      <t xml:space="preserve">: 8</t>
    </r>
    <r>
      <rPr>
        <sz val="10"/>
        <color rgb="FF000000"/>
        <rFont val="Noto Sans CJK SC"/>
        <family val="2"/>
      </rPr>
      <t xml:space="preserve">개 영상을 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초씩 이으면 </t>
    </r>
    <r>
      <rPr>
        <sz val="10"/>
        <color rgb="FF000000"/>
        <rFont val="Arial"/>
        <family val="0"/>
        <charset val="1"/>
      </rPr>
      <t xml:space="preserve">8×N</t>
    </r>
    <r>
      <rPr>
        <sz val="10"/>
        <color rgb="FF000000"/>
        <rFont val="Noto Sans CJK SC"/>
        <family val="2"/>
      </rPr>
      <t xml:space="preserve">초에 끝나야 함</t>
    </r>
  </si>
  <si>
    <r>
      <rPr>
        <sz val="10"/>
        <color rgb="FF000000"/>
        <rFont val="Noto Sans CJK SC"/>
        <family val="2"/>
      </rPr>
      <t xml:space="preserve">대규모 프로젝트 스트레스 테스트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컷 수백 개</t>
    </r>
    <r>
      <rPr>
        <sz val="10"/>
        <color rgb="FF000000"/>
        <rFont val="Arial"/>
        <family val="0"/>
        <charset val="1"/>
      </rPr>
      <t xml:space="preserve">·10</t>
    </r>
    <r>
      <rPr>
        <sz val="10"/>
        <color rgb="FF000000"/>
        <rFont val="Noto Sans CJK SC"/>
        <family val="2"/>
      </rPr>
      <t xml:space="preserve">분 영상</t>
    </r>
    <r>
      <rPr>
        <sz val="10"/>
        <color rgb="FF000000"/>
        <rFont val="Arial"/>
        <family val="0"/>
        <charset val="1"/>
      </rPr>
      <t xml:space="preserve">)</t>
    </r>
  </si>
  <si>
    <t xml:space="preserve">실제 사용은 테스트보다 훨씬 길고 컷이 많음</t>
  </si>
  <si>
    <r>
      <rPr>
        <sz val="10"/>
        <color rgb="FF000000"/>
        <rFont val="Noto Sans CJK SC"/>
        <family val="2"/>
      </rPr>
      <t xml:space="preserve">단축키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스페이스 재생</t>
    </r>
    <r>
      <rPr>
        <sz val="10"/>
        <color rgb="FF000000"/>
        <rFont val="Arial"/>
        <family val="0"/>
        <charset val="1"/>
      </rPr>
      <t xml:space="preserve">, Delete </t>
    </r>
    <r>
      <rPr>
        <sz val="10"/>
        <color rgb="FF000000"/>
        <rFont val="Noto Sans CJK SC"/>
        <family val="2"/>
      </rPr>
      <t xml:space="preserve">삭제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미리보기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내보내기</t>
    </r>
    <r>
      <rPr>
        <sz val="10"/>
        <color rgb="FF000000"/>
        <rFont val="Arial"/>
        <family val="0"/>
        <charset val="1"/>
      </rPr>
      <t xml:space="preserve">)</t>
    </r>
  </si>
  <si>
    <t xml:space="preserve">자주 하는 동작을 마우스 없이</t>
  </si>
  <si>
    <r>
      <rPr>
        <sz val="10"/>
        <color rgb="FF000000"/>
        <rFont val="Noto Sans CJK SC"/>
        <family val="2"/>
      </rPr>
      <t xml:space="preserve">사진 켄 번즈 효과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천천히 확대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이동</t>
    </r>
    <r>
      <rPr>
        <sz val="10"/>
        <color rgb="FF000000"/>
        <rFont val="Arial"/>
        <family val="0"/>
        <charset val="1"/>
      </rPr>
      <t xml:space="preserve">)</t>
    </r>
  </si>
  <si>
    <t xml:space="preserve">사진이 멈춰 있으면 영상이 밋밋함</t>
  </si>
  <si>
    <r>
      <rPr>
        <sz val="10"/>
        <color rgb="FF000000"/>
        <rFont val="Noto Sans CJK SC"/>
        <family val="2"/>
      </rPr>
      <t xml:space="preserve">말소리 나올 때 음악 자동 줄이기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덕킹</t>
    </r>
    <r>
      <rPr>
        <sz val="10"/>
        <color rgb="FF000000"/>
        <rFont val="Arial"/>
        <family val="0"/>
        <charset val="1"/>
      </rPr>
      <t xml:space="preserve">)</t>
    </r>
  </si>
  <si>
    <t xml:space="preserve">브이로그에서 음악에 말소리가 묻힘</t>
  </si>
  <si>
    <r>
      <rPr>
        <sz val="10"/>
        <color rgb="FF000000"/>
        <rFont val="Noto Sans CJK SC"/>
        <family val="2"/>
      </rPr>
      <t xml:space="preserve">색감 필터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따뜻하게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차갑게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흑백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선명하게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빈티지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</si>
  <si>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여러 폰으로 찍은 영상의 색감 통일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분위기</t>
    </r>
  </si>
  <si>
    <r>
      <rPr>
        <sz val="10"/>
        <color rgb="FF000000"/>
        <rFont val="Noto Sans CJK SC"/>
        <family val="2"/>
      </rPr>
      <t xml:space="preserve">그래픽카드 인코딩 </t>
    </r>
    <r>
      <rPr>
        <sz val="10"/>
        <color rgb="FF000000"/>
        <rFont val="Arial"/>
        <family val="0"/>
        <charset val="1"/>
      </rPr>
      <t xml:space="preserve">(NVIDIA·Intel·AMD) </t>
    </r>
    <r>
      <rPr>
        <sz val="10"/>
        <color rgb="FF000000"/>
        <rFont val="Noto Sans CJK SC"/>
        <family val="2"/>
      </rPr>
      <t xml:space="preserve">자동 사용</t>
    </r>
  </si>
  <si>
    <r>
      <rPr>
        <sz val="10"/>
        <color rgb="FF000000"/>
        <rFont val="Noto Sans CJK SC"/>
        <family val="2"/>
      </rPr>
      <t xml:space="preserve">내보내기가 가장 오래 걸리는 단계 — 그래픽카드가 있는 </t>
    </r>
    <r>
      <rPr>
        <sz val="10"/>
        <color rgb="FF000000"/>
        <rFont val="Arial"/>
        <family val="0"/>
        <charset val="1"/>
      </rPr>
      <t xml:space="preserve">PC</t>
    </r>
    <r>
      <rPr>
        <sz val="10"/>
        <color rgb="FF000000"/>
        <rFont val="Noto Sans CJK SC"/>
        <family val="2"/>
      </rPr>
      <t xml:space="preserve">에서 체감 속도가 크게 좋아짐</t>
    </r>
  </si>
  <si>
    <r>
      <rPr>
        <sz val="10"/>
        <color rgb="FF000000"/>
        <rFont val="Noto Sans CJK SC"/>
        <family val="2"/>
      </rPr>
      <t xml:space="preserve">릴스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유튜브 한 번에 둘 다 내보내기</t>
    </r>
  </si>
  <si>
    <t xml:space="preserve">같은 영상을 비율만 바꿔 두 번 올리는 경우가 많음 — 설정 바꾸고 다시 내보내는 반복을 줄임</t>
  </si>
  <si>
    <r>
      <rPr>
        <sz val="10"/>
        <color rgb="FF000000"/>
        <rFont val="Noto Sans CJK SC"/>
        <family val="2"/>
      </rPr>
      <t xml:space="preserve">대표 이미지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썸네일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저장</t>
    </r>
  </si>
  <si>
    <t xml:space="preserve">유튜브 업로드에 필요 — 미리보기에서 원하는 장면을 바로 이미지로</t>
  </si>
  <si>
    <r>
      <rPr>
        <sz val="10"/>
        <color rgb="FF000000"/>
        <rFont val="Noto Sans CJK SC"/>
        <family val="2"/>
      </rPr>
      <t xml:space="preserve">자막 등장 효과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톡 튀어나오기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페이드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</si>
  <si>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릴스 자막에서 흔한 연출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완성도 향상</t>
    </r>
  </si>
  <si>
    <r>
      <rPr>
        <sz val="10"/>
        <color rgb="FF000000"/>
        <rFont val="Noto Sans CJK SC"/>
        <family val="2"/>
      </rPr>
      <t xml:space="preserve">아이폰 </t>
    </r>
    <r>
      <rPr>
        <sz val="10"/>
        <color rgb="FF000000"/>
        <rFont val="Arial"/>
        <family val="0"/>
        <charset val="1"/>
      </rPr>
      <t xml:space="preserve">HDR </t>
    </r>
    <r>
      <rPr>
        <sz val="10"/>
        <color rgb="FF000000"/>
        <rFont val="Noto Sans CJK SC"/>
        <family val="2"/>
      </rPr>
      <t xml:space="preserve">영상 색 바램 고치기</t>
    </r>
  </si>
  <si>
    <r>
      <rPr>
        <sz val="10"/>
        <color rgb="FF000000"/>
        <rFont val="Noto Sans CJK SC"/>
        <family val="2"/>
      </rPr>
      <t xml:space="preserve">아이폰은 기본이 </t>
    </r>
    <r>
      <rPr>
        <sz val="10"/>
        <color rgb="FF000000"/>
        <rFont val="Arial"/>
        <family val="0"/>
        <charset val="1"/>
      </rPr>
      <t xml:space="preserve">HDR </t>
    </r>
    <r>
      <rPr>
        <sz val="10"/>
        <color rgb="FF000000"/>
        <rFont val="Noto Sans CJK SC"/>
        <family val="2"/>
      </rPr>
      <t xml:space="preserve">촬영 → 여행 영상 대부분이 회색으로 바래서 나옴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결과물 오류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</si>
  <si>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아이폰 사진</t>
    </r>
    <r>
      <rPr>
        <sz val="10"/>
        <color rgb="FF000000"/>
        <rFont val="Arial"/>
        <family val="0"/>
        <charset val="1"/>
      </rPr>
      <t xml:space="preserve">(HEIC) </t>
    </r>
    <r>
      <rPr>
        <sz val="10"/>
        <color rgb="FF000000"/>
        <rFont val="Noto Sans CJK SC"/>
        <family val="2"/>
      </rPr>
      <t xml:space="preserve">지원</t>
    </r>
  </si>
  <si>
    <t xml:space="preserve">아이폰 사진 기본 형식 — 여행 사진을 그대로 넣을 수 있어야 함</t>
  </si>
  <si>
    <r>
      <rPr>
        <sz val="10"/>
        <color rgb="FF000000"/>
        <rFont val="Noto Sans CJK SC"/>
        <family val="2"/>
      </rPr>
      <t xml:space="preserve">폴더 통째로 추가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찍은 날짜순 정렬</t>
    </r>
  </si>
  <si>
    <r>
      <rPr>
        <sz val="10"/>
        <color rgb="FF000000"/>
        <rFont val="Noto Sans CJK SC"/>
        <family val="2"/>
      </rPr>
      <t xml:space="preserve">여행 영상은 수십</t>
    </r>
    <r>
      <rPr>
        <sz val="10"/>
        <color rgb="FF000000"/>
        <rFont val="Arial"/>
        <family val="0"/>
        <charset val="1"/>
      </rPr>
      <t xml:space="preserve">~</t>
    </r>
    <r>
      <rPr>
        <sz val="10"/>
        <color rgb="FF000000"/>
        <rFont val="Noto Sans CJK SC"/>
        <family val="2"/>
      </rPr>
      <t xml:space="preserve">수백 개 — 하나씩 고르기 힘들고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여행 순서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날짜순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가 기본 흐름</t>
    </r>
  </si>
  <si>
    <r>
      <rPr>
        <sz val="10"/>
        <color rgb="FF000000"/>
        <rFont val="Noto Sans CJK SC"/>
        <family val="2"/>
      </rPr>
      <t xml:space="preserve">릴스 안전 영역 표시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자막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제목 위치 자동 회피</t>
    </r>
  </si>
  <si>
    <r>
      <rPr>
        <sz val="10"/>
        <color rgb="FF000000"/>
        <rFont val="Noto Sans CJK SC"/>
        <family val="2"/>
      </rPr>
      <t xml:space="preserve">릴스는 아래쪽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설명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버튼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과 오른쪽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좋아요 등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을 화면 </t>
    </r>
    <r>
      <rPr>
        <sz val="10"/>
        <color rgb="FF000000"/>
        <rFont val="Arial"/>
        <family val="0"/>
        <charset val="1"/>
      </rPr>
      <t xml:space="preserve">UI</t>
    </r>
    <r>
      <rPr>
        <sz val="10"/>
        <color rgb="FF000000"/>
        <rFont val="Noto Sans CJK SC"/>
        <family val="2"/>
      </rPr>
      <t xml:space="preserve">가 가림 — 자막이 가려지면 안 됨</t>
    </r>
  </si>
  <si>
    <r>
      <rPr>
        <sz val="10"/>
        <color rgb="FF000000"/>
        <rFont val="Noto Sans CJK SC"/>
        <family val="2"/>
      </rPr>
      <t xml:space="preserve">설정 템플릿 저장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불러오기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다음 여행에 그대로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</si>
  <si>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다른 여행도 같은 스타일로 만들 계획 — 음악 빼고 컷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자막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색감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내보내기 설정 재사용</t>
    </r>
  </si>
  <si>
    <r>
      <rPr>
        <sz val="10"/>
        <color rgb="FF000000"/>
        <rFont val="Noto Sans CJK SC"/>
        <family val="2"/>
      </rPr>
      <t xml:space="preserve">음악 없이 내보내기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인스타 앱에서 같은 노래 붙이기</t>
    </r>
    <r>
      <rPr>
        <sz val="10"/>
        <color rgb="FF000000"/>
        <rFont val="Arial"/>
        <family val="0"/>
        <charset val="1"/>
      </rPr>
      <t xml:space="preserve">)</t>
    </r>
  </si>
  <si>
    <t xml:space="preserve">저작권 음악은 인스타에서 음소거될 수 있음 — 비트 컷은 유지하고 소리만 빼서 앱 음악 기능 사용</t>
  </si>
  <si>
    <t xml:space="preserve">찍은 날짜 정보가 없으면 물어보기</t>
  </si>
  <si>
    <r>
      <rPr>
        <sz val="10"/>
        <color rgb="FF000000"/>
        <rFont val="Noto Sans CJK SC"/>
        <family val="2"/>
      </rPr>
      <t xml:space="preserve">사용자 제안 — 메신저로 받은 사진은 날짜가 지워져 날짜순이 틀어짐</t>
    </r>
    <r>
      <rPr>
        <sz val="10"/>
        <color rgb="FF000000"/>
        <rFont val="Arial"/>
        <family val="0"/>
        <charset val="1"/>
      </rPr>
      <t xml:space="preserve">, 1</t>
    </r>
    <r>
      <rPr>
        <sz val="10"/>
        <color rgb="FF000000"/>
        <rFont val="Noto Sans CJK SC"/>
        <family val="2"/>
      </rPr>
      <t xml:space="preserve">년 </t>
    </r>
    <r>
      <rPr>
        <sz val="10"/>
        <color rgb="FF000000"/>
        <rFont val="Arial"/>
        <family val="0"/>
        <charset val="1"/>
      </rPr>
      <t xml:space="preserve">recap</t>
    </r>
    <r>
      <rPr>
        <sz val="10"/>
        <color rgb="FF000000"/>
        <rFont val="Noto Sans CJK SC"/>
        <family val="2"/>
      </rPr>
      <t xml:space="preserve">에서 특히 중요</t>
    </r>
  </si>
  <si>
    <r>
      <rPr>
        <sz val="10"/>
        <color rgb="FF000000"/>
        <rFont val="Noto Sans CJK SC"/>
        <family val="2"/>
      </rPr>
      <t xml:space="preserve">클립마다 날짜 도장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: 2026.03.14)</t>
    </r>
  </si>
  <si>
    <r>
      <rPr>
        <sz val="10"/>
        <color rgb="FF000000"/>
        <rFont val="Arial"/>
        <family val="0"/>
        <charset val="1"/>
      </rPr>
      <t xml:space="preserve">recap </t>
    </r>
    <r>
      <rPr>
        <sz val="10"/>
        <color rgb="FF000000"/>
        <rFont val="Noto Sans CJK SC"/>
        <family val="2"/>
      </rPr>
      <t xml:space="preserve">릴스의 대표 연출 — 언제 장면인지 보여 줌</t>
    </r>
  </si>
  <si>
    <r>
      <rPr>
        <sz val="10"/>
        <color rgb="FF000000"/>
        <rFont val="Noto Sans CJK SC"/>
        <family val="2"/>
      </rPr>
      <t xml:space="preserve">월별 제목 자동 만들기 </t>
    </r>
    <r>
      <rPr>
        <sz val="10"/>
        <color rgb="FF000000"/>
        <rFont val="Arial"/>
        <family val="0"/>
        <charset val="1"/>
      </rPr>
      <t xml:space="preserve">(JANUARY, FEBRUARY …)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</si>
  <si>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년치 영상의 구간 나누기를 손으로 하면 오래 걸림</t>
    </r>
  </si>
  <si>
    <r>
      <rPr>
        <sz val="10"/>
        <color rgb="FF000000"/>
        <rFont val="Noto Sans CJK SC"/>
        <family val="2"/>
      </rPr>
      <t xml:space="preserve">폴더 추가 때 날짜 범위로 고르기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: 2026</t>
    </r>
    <r>
      <rPr>
        <sz val="10"/>
        <color rgb="FF000000"/>
        <rFont val="Noto Sans CJK SC"/>
        <family val="2"/>
      </rPr>
      <t xml:space="preserve">년만</t>
    </r>
    <r>
      <rPr>
        <sz val="10"/>
        <color rgb="FF000000"/>
        <rFont val="Arial"/>
        <family val="0"/>
        <charset val="1"/>
      </rPr>
      <t xml:space="preserve">)</t>
    </r>
  </si>
  <si>
    <t xml:space="preserve">카메라 앨범 폴더엔 다른 해 사진도 섞여 있음</t>
  </si>
  <si>
    <t xml:space="preserve">날짜</t>
  </si>
  <si>
    <t xml:space="preserve">구분</t>
  </si>
  <si>
    <t xml:space="preserve">내용</t>
  </si>
  <si>
    <t xml:space="preserve">결과</t>
  </si>
  <si>
    <t xml:space="preserve">커밋</t>
  </si>
  <si>
    <t xml:space="preserve">2026-10-13</t>
  </si>
  <si>
    <t xml:space="preserve">기능</t>
  </si>
  <si>
    <t xml:space="preserve">첫 버전</t>
  </si>
  <si>
    <r>
      <rPr>
        <sz val="10"/>
        <color rgb="FF000000"/>
        <rFont val="Noto Sans CJK SC"/>
        <family val="2"/>
      </rPr>
      <t xml:space="preserve">이어붙이기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자동 자막</t>
    </r>
    <r>
      <rPr>
        <sz val="10"/>
        <color rgb="FF000000"/>
        <rFont val="Arial"/>
        <family val="0"/>
        <charset val="1"/>
      </rPr>
      <t xml:space="preserve">(Whisper), </t>
    </r>
    <r>
      <rPr>
        <sz val="10"/>
        <color rgb="FF000000"/>
        <rFont val="Noto Sans CJK SC"/>
        <family val="2"/>
      </rPr>
      <t xml:space="preserve">비트 맞춤 컷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화면 속 화면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내보내기</t>
    </r>
  </si>
  <si>
    <t xml:space="preserve">4dd839b</t>
  </si>
  <si>
    <r>
      <rPr>
        <sz val="10"/>
        <color rgb="FF000000"/>
        <rFont val="Noto Sans CJK SC"/>
        <family val="2"/>
      </rPr>
      <t xml:space="preserve">유튜브 링크 → </t>
    </r>
    <r>
      <rPr>
        <sz val="10"/>
        <color rgb="FF000000"/>
        <rFont val="Arial"/>
        <family val="0"/>
        <charset val="1"/>
      </rPr>
      <t xml:space="preserve">mp3, </t>
    </r>
    <r>
      <rPr>
        <sz val="10"/>
        <color rgb="FF000000"/>
        <rFont val="Noto Sans CJK SC"/>
        <family val="2"/>
      </rPr>
      <t xml:space="preserve">음악 시작 위치 파형 게이지</t>
    </r>
  </si>
  <si>
    <r>
      <rPr>
        <sz val="10"/>
        <color rgb="FF000000"/>
        <rFont val="Arial"/>
        <family val="0"/>
        <charset val="1"/>
      </rPr>
      <t xml:space="preserve">yt-dlp + Deno </t>
    </r>
    <r>
      <rPr>
        <sz val="10"/>
        <color rgb="FF000000"/>
        <rFont val="Noto Sans CJK SC"/>
        <family val="2"/>
      </rPr>
      <t xml:space="preserve">포함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클릭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드래그로 시작 위치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미리듣기</t>
    </r>
  </si>
  <si>
    <t xml:space="preserve">77306ce</t>
  </si>
  <si>
    <t xml:space="preserve">수정</t>
  </si>
  <si>
    <r>
      <rPr>
        <sz val="10"/>
        <color rgb="FF000000"/>
        <rFont val="Arial"/>
        <family val="0"/>
        <charset val="1"/>
      </rPr>
      <t xml:space="preserve">Windows </t>
    </r>
    <r>
      <rPr>
        <sz val="10"/>
        <color rgb="FF000000"/>
        <rFont val="Noto Sans CJK SC"/>
        <family val="2"/>
      </rPr>
      <t xml:space="preserve">빌드 실패</t>
    </r>
  </si>
  <si>
    <r>
      <rPr>
        <sz val="10"/>
        <color rgb="FF000000"/>
        <rFont val="Arial"/>
        <family val="0"/>
        <charset val="1"/>
      </rPr>
      <t xml:space="preserve">FFmpeg </t>
    </r>
    <r>
      <rPr>
        <sz val="10"/>
        <color rgb="FF000000"/>
        <rFont val="Noto Sans CJK SC"/>
        <family val="2"/>
      </rPr>
      <t xml:space="preserve">다운로드 주소가 없어진 파일을 가리킴 → </t>
    </r>
    <r>
      <rPr>
        <sz val="10"/>
        <color rgb="FF000000"/>
        <rFont val="Arial"/>
        <family val="0"/>
        <charset val="1"/>
      </rPr>
      <t xml:space="preserve">master-latest</t>
    </r>
    <r>
      <rPr>
        <sz val="10"/>
        <color rgb="FF000000"/>
        <rFont val="Noto Sans CJK SC"/>
        <family val="2"/>
      </rPr>
      <t xml:space="preserve">로 변경</t>
    </r>
  </si>
  <si>
    <t xml:space="preserve">빌드 성공</t>
  </si>
  <si>
    <t xml:space="preserve">자막 글꼴 지정</t>
  </si>
  <si>
    <r>
      <rPr>
        <sz val="10"/>
        <color rgb="FF000000"/>
        <rFont val="Noto Sans CJK SC"/>
        <family val="2"/>
      </rPr>
      <t xml:space="preserve">글꼴 파일 불러오기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굵게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상자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위치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미리보기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위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가운데 정렬 번호 오류도 수정</t>
    </r>
  </si>
  <si>
    <t xml:space="preserve">40a61f7</t>
  </si>
  <si>
    <t xml:space="preserve">화면 비율 선택</t>
  </si>
  <si>
    <r>
      <rPr>
        <sz val="10"/>
        <color rgb="FF000000"/>
        <rFont val="Arial"/>
        <family val="0"/>
        <charset val="1"/>
      </rPr>
      <t xml:space="preserve">16:9 / 9:16 / 1:1 / 4:5, </t>
    </r>
    <r>
      <rPr>
        <sz val="10"/>
        <color rgb="FF000000"/>
        <rFont val="Noto Sans CJK SC"/>
        <family val="2"/>
      </rPr>
      <t xml:space="preserve">흐린 배경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잘라 채우기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검은 여백</t>
    </r>
  </si>
  <si>
    <t xml:space="preserve">beef089</t>
  </si>
  <si>
    <t xml:space="preserve">사용자 제보</t>
  </si>
  <si>
    <t xml:space="preserve">비트 맞춤인데 장면 전환이 안 됨</t>
  </si>
  <si>
    <r>
      <rPr>
        <sz val="10"/>
        <color rgb="FF000000"/>
        <rFont val="Noto Sans CJK SC"/>
        <family val="2"/>
      </rPr>
      <t xml:space="preserve">원인</t>
    </r>
    <r>
      <rPr>
        <sz val="10"/>
        <color rgb="FF000000"/>
        <rFont val="Arial"/>
        <family val="0"/>
        <charset val="1"/>
      </rPr>
      <t xml:space="preserve">: '</t>
    </r>
    <r>
      <rPr>
        <sz val="10"/>
        <color rgb="FF000000"/>
        <rFont val="Noto Sans CJK SC"/>
        <family val="2"/>
      </rPr>
      <t xml:space="preserve">차례대로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가 클립을 끊김 없이 이어 자름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음악보다 긴 부분이 한 덩어리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클립 안에서 건너뛰도록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음악 길이로 제한</t>
    </r>
  </si>
  <si>
    <t xml:space="preserve">f2c1d9b</t>
  </si>
  <si>
    <t xml:space="preserve">같은 파일 안에서만 건너뜀</t>
  </si>
  <si>
    <r>
      <rPr>
        <sz val="10"/>
        <color rgb="FF000000"/>
        <rFont val="Noto Sans CJK SC"/>
        <family val="2"/>
      </rPr>
      <t xml:space="preserve">컷마다 다음 파일로 넘어가는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파일 번갈아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를 기본으로</t>
    </r>
    <r>
      <rPr>
        <sz val="10"/>
        <color rgb="FF000000"/>
        <rFont val="Arial"/>
        <family val="0"/>
        <charset val="1"/>
      </rPr>
      <t xml:space="preserve">, '</t>
    </r>
    <r>
      <rPr>
        <sz val="10"/>
        <color rgb="FF000000"/>
        <rFont val="Noto Sans CJK SC"/>
        <family val="2"/>
      </rPr>
      <t xml:space="preserve">몰아서</t>
    </r>
    <r>
      <rPr>
        <sz val="10"/>
        <color rgb="FF000000"/>
        <rFont val="Arial"/>
        <family val="0"/>
        <charset val="1"/>
      </rPr>
      <t xml:space="preserve">'·'</t>
    </r>
    <r>
      <rPr>
        <sz val="10"/>
        <color rgb="FF000000"/>
        <rFont val="Noto Sans CJK SC"/>
        <family val="2"/>
      </rPr>
      <t xml:space="preserve">무작위</t>
    </r>
    <r>
      <rPr>
        <sz val="10"/>
        <color rgb="FF000000"/>
        <rFont val="Arial"/>
        <family val="0"/>
        <charset val="1"/>
      </rPr>
      <t xml:space="preserve">'·'</t>
    </r>
    <r>
      <rPr>
        <sz val="10"/>
        <color rgb="FF000000"/>
        <rFont val="Noto Sans CJK SC"/>
        <family val="2"/>
      </rPr>
      <t xml:space="preserve">이어서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예전 방식</t>
    </r>
    <r>
      <rPr>
        <sz val="10"/>
        <color rgb="FF000000"/>
        <rFont val="Arial"/>
        <family val="0"/>
        <charset val="1"/>
      </rPr>
      <t xml:space="preserve">)' </t>
    </r>
    <r>
      <rPr>
        <sz val="10"/>
        <color rgb="FF000000"/>
        <rFont val="Noto Sans CJK SC"/>
        <family val="2"/>
      </rPr>
      <t xml:space="preserve">선택지</t>
    </r>
  </si>
  <si>
    <t xml:space="preserve">8c0d897</t>
  </si>
  <si>
    <r>
      <rPr>
        <sz val="10"/>
        <color rgb="FF000000"/>
        <rFont val="Noto Sans CJK SC"/>
        <family val="2"/>
      </rPr>
      <t xml:space="preserve">헤드폰인데 스피커로 나옴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노래가 늘어짐</t>
    </r>
  </si>
  <si>
    <r>
      <rPr>
        <sz val="10"/>
        <color rgb="FF000000"/>
        <rFont val="Noto Sans CJK SC"/>
        <family val="2"/>
      </rPr>
      <t xml:space="preserve">출력 장치 선택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기본 장치 자동 따라가기 추가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렌더 결과물은 원곡과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초 오차로 확인 → 재생기 출력 장치 문제로 추정</t>
    </r>
  </si>
  <si>
    <t xml:space="preserve">확인 대기</t>
  </si>
  <si>
    <t xml:space="preserve">023a344</t>
  </si>
  <si>
    <t xml:space="preserve">테스트</t>
  </si>
  <si>
    <t xml:space="preserve">엣지 케이스 렌더링</t>
  </si>
  <si>
    <r>
      <rPr>
        <sz val="10"/>
        <color rgb="FF000000"/>
        <rFont val="Noto Sans CJK SC"/>
        <family val="2"/>
      </rPr>
      <t xml:space="preserve">한글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따옴표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대괄호 경로</t>
    </r>
    <r>
      <rPr>
        <sz val="10"/>
        <color rgb="FF000000"/>
        <rFont val="Arial"/>
        <family val="0"/>
        <charset val="1"/>
      </rPr>
      <t xml:space="preserve">, 10</t>
    </r>
    <r>
      <rPr>
        <sz val="10"/>
        <color rgb="FF000000"/>
        <rFont val="Noto Sans CJK SC"/>
        <family val="2"/>
      </rPr>
      <t xml:space="preserve">비트 </t>
    </r>
    <r>
      <rPr>
        <sz val="10"/>
        <color rgb="FF000000"/>
        <rFont val="Arial"/>
        <family val="0"/>
        <charset val="1"/>
      </rPr>
      <t xml:space="preserve">HEVC 60fps, VP9, </t>
    </r>
    <r>
      <rPr>
        <sz val="10"/>
        <color rgb="FF000000"/>
        <rFont val="Noto Sans CJK SC"/>
        <family val="2"/>
      </rPr>
      <t xml:space="preserve">홀수 해상도</t>
    </r>
    <r>
      <rPr>
        <sz val="10"/>
        <color rgb="FF000000"/>
        <rFont val="Arial"/>
        <family val="0"/>
        <charset val="1"/>
      </rPr>
      <t xml:space="preserve">·yuv444p, </t>
    </r>
    <r>
      <rPr>
        <sz val="10"/>
        <color rgb="FF000000"/>
        <rFont val="Noto Sans CJK SC"/>
        <family val="2"/>
      </rPr>
      <t xml:space="preserve">모노 </t>
    </r>
    <r>
      <rPr>
        <sz val="10"/>
        <color rgb="FF000000"/>
        <rFont val="Arial"/>
        <family val="0"/>
        <charset val="1"/>
      </rPr>
      <t xml:space="preserve">22kHz, 3000×4000 </t>
    </r>
    <r>
      <rPr>
        <sz val="10"/>
        <color rgb="FF000000"/>
        <rFont val="Noto Sans CJK SC"/>
        <family val="2"/>
      </rPr>
      <t xml:space="preserve">사진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회전 메타데이터 세로 영상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자막 특수문자 —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가지 조합</t>
    </r>
  </si>
  <si>
    <t xml:space="preserve">모두 통과</t>
  </si>
  <si>
    <r>
      <rPr>
        <sz val="10"/>
        <color rgb="FF000000"/>
        <rFont val="Arial"/>
        <family val="0"/>
        <charset val="1"/>
      </rPr>
      <t xml:space="preserve">[1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렌더링 병렬화</t>
    </r>
  </si>
  <si>
    <r>
      <rPr>
        <sz val="10"/>
        <color rgb="FF000000"/>
        <rFont val="Noto Sans CJK SC"/>
        <family val="2"/>
      </rPr>
      <t xml:space="preserve">조각 인코딩을 동시에 실행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코어 절반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최대 </t>
    </r>
    <r>
      <rPr>
        <sz val="10"/>
        <color rgb="FF000000"/>
        <rFont val="Arial"/>
        <family val="0"/>
        <charset val="1"/>
      </rPr>
      <t xml:space="preserve">4). 4</t>
    </r>
    <r>
      <rPr>
        <sz val="10"/>
        <color rgb="FF000000"/>
        <rFont val="Noto Sans CJK SC"/>
        <family val="2"/>
      </rPr>
      <t xml:space="preserve">코어</t>
    </r>
    <r>
      <rPr>
        <sz val="10"/>
        <color rgb="FF000000"/>
        <rFont val="Arial"/>
        <family val="0"/>
        <charset val="1"/>
      </rPr>
      <t xml:space="preserve">·30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·1080×1920·</t>
    </r>
    <r>
      <rPr>
        <sz val="10"/>
        <color rgb="FF000000"/>
        <rFont val="Noto Sans CJK SC"/>
        <family val="2"/>
      </rPr>
      <t xml:space="preserve">컷 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: 45.7</t>
    </r>
    <r>
      <rPr>
        <sz val="10"/>
        <color rgb="FF000000"/>
        <rFont val="Noto Sans CJK SC"/>
        <family val="2"/>
      </rPr>
      <t xml:space="preserve">초 → </t>
    </r>
    <r>
      <rPr>
        <sz val="10"/>
        <color rgb="FF000000"/>
        <rFont val="Arial"/>
        <family val="0"/>
        <charset val="1"/>
      </rPr>
      <t xml:space="preserve">22.0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(2</t>
    </r>
    <r>
      <rPr>
        <sz val="10"/>
        <color rgb="FF000000"/>
        <rFont val="Noto Sans CJK SC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) → 20.5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(4</t>
    </r>
    <r>
      <rPr>
        <sz val="10"/>
        <color rgb="FF000000"/>
        <rFont val="Noto Sans CJK SC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실패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취소 시 모두 중단</t>
    </r>
  </si>
  <si>
    <r>
      <rPr>
        <sz val="10"/>
        <color rgb="FF000000"/>
        <rFont val="Noto Sans CJK SC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배 빨라짐</t>
    </r>
  </si>
  <si>
    <t xml:space="preserve">1e76e71</t>
  </si>
  <si>
    <r>
      <rPr>
        <sz val="10"/>
        <color rgb="FF000000"/>
        <rFont val="Arial"/>
        <family val="0"/>
        <charset val="1"/>
      </rPr>
      <t xml:space="preserve">[2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자동 저장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복구</t>
    </r>
  </si>
  <si>
    <r>
      <rPr>
        <sz val="10"/>
        <color rgb="FF000000"/>
        <rFont val="Noto Sans CJK SC"/>
        <family val="2"/>
      </rPr>
      <t xml:space="preserve">편집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초 뒤 별도 위치에 자동 저장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다음 실행 때 복구 여부 확인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프로젝트 저장을 원자적 쓰기로 변경</t>
    </r>
  </si>
  <si>
    <t xml:space="preserve">c51451b</t>
  </si>
  <si>
    <r>
      <rPr>
        <sz val="10"/>
        <color rgb="FF000000"/>
        <rFont val="Arial"/>
        <family val="0"/>
        <charset val="1"/>
      </rPr>
      <t xml:space="preserve">[3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취소 시 기존 영상이 깨지는 문제</t>
    </r>
  </si>
  <si>
    <r>
      <rPr>
        <sz val="10"/>
        <color rgb="FF000000"/>
        <rFont val="Noto Sans CJK SC"/>
        <family val="2"/>
      </rPr>
      <t xml:space="preserve">최종 인코딩을 임시 파일에 쓰고 성공했을 때만 이름을 바꿈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취소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오류 시 기존 파일 그대로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임시 파일 정리</t>
    </r>
  </si>
  <si>
    <t xml:space="preserve">332d576</t>
  </si>
  <si>
    <r>
      <rPr>
        <sz val="10"/>
        <color rgb="FF000000"/>
        <rFont val="Arial"/>
        <family val="0"/>
        <charset val="1"/>
      </rPr>
      <t xml:space="preserve">[3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없어진 파일 확인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다시 연결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쉬운 오류 문구</t>
    </r>
  </si>
  <si>
    <r>
      <rPr>
        <sz val="10"/>
        <color rgb="FF000000"/>
        <rFont val="Noto Sans CJK SC"/>
        <family val="2"/>
      </rPr>
      <t xml:space="preserve">렌더 전 없는 파일 목록 표시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폴더를 고르면 같은 이름으로 찾아 다시 연결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디스크 부족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권한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손상 파일 등은 한글 설명</t>
    </r>
  </si>
  <si>
    <r>
      <rPr>
        <sz val="10"/>
        <color rgb="FF000000"/>
        <rFont val="Arial"/>
        <family val="0"/>
        <charset val="1"/>
      </rPr>
      <t xml:space="preserve">[3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다시 연결 화면 흐름</t>
    </r>
  </si>
  <si>
    <r>
      <rPr>
        <sz val="10"/>
        <color rgb="FF000000"/>
        <rFont val="Noto Sans CJK SC"/>
        <family val="2"/>
      </rPr>
      <t xml:space="preserve">클립을 다른 폴더로 옮긴 프로젝트 열기 →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폴더에서 찾기</t>
    </r>
    <r>
      <rPr>
        <sz val="10"/>
        <color rgb="FF000000"/>
        <rFont val="Arial"/>
        <family val="0"/>
        <charset val="1"/>
      </rPr>
      <t xml:space="preserve">' → </t>
    </r>
    <r>
      <rPr>
        <sz val="10"/>
        <color rgb="FF000000"/>
        <rFont val="Noto Sans CJK SC"/>
        <family val="2"/>
      </rPr>
      <t xml:space="preserve">하위 폴더에서 찾아 연결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렌더 전에도 같은 확인</t>
    </r>
  </si>
  <si>
    <t xml:space="preserve">통과</t>
  </si>
  <si>
    <t xml:space="preserve">개발 일지 엑셀</t>
  </si>
  <si>
    <r>
      <rPr>
        <sz val="10"/>
        <color rgb="FF000000"/>
        <rFont val="Arial"/>
        <family val="0"/>
        <charset val="1"/>
      </rPr>
      <t xml:space="preserve">devlog.json </t>
    </r>
    <r>
      <rPr>
        <sz val="10"/>
        <color rgb="FF000000"/>
        <rFont val="Noto Sans CJK SC"/>
        <family val="2"/>
      </rPr>
      <t xml:space="preserve">한 곳에 기록 → </t>
    </r>
    <r>
      <rPr>
        <sz val="10"/>
        <color rgb="FF000000"/>
        <rFont val="Arial"/>
        <family val="0"/>
        <charset val="1"/>
      </rPr>
      <t xml:space="preserve">tools/make_devlog.py</t>
    </r>
    <r>
      <rPr>
        <sz val="10"/>
        <color rgb="FF000000"/>
        <rFont val="Noto Sans CJK SC"/>
        <family val="2"/>
      </rPr>
      <t xml:space="preserve">가 </t>
    </r>
    <r>
      <rPr>
        <sz val="10"/>
        <color rgb="FF000000"/>
        <rFont val="Arial"/>
        <family val="0"/>
        <charset val="1"/>
      </rPr>
      <t xml:space="preserve">DEVLOG.xlsx(</t>
    </r>
    <r>
      <rPr>
        <sz val="10"/>
        <color rgb="FF000000"/>
        <rFont val="Noto Sans CJK SC"/>
        <family val="2"/>
      </rPr>
      <t xml:space="preserve">요약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로드맵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개발 기록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테스트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와 </t>
    </r>
    <r>
      <rPr>
        <sz val="10"/>
        <color rgb="FF000000"/>
        <rFont val="Arial"/>
        <family val="0"/>
        <charset val="1"/>
      </rPr>
      <t xml:space="preserve">DEVLOG.md </t>
    </r>
    <r>
      <rPr>
        <sz val="10"/>
        <color rgb="FF000000"/>
        <rFont val="Noto Sans CJK SC"/>
        <family val="2"/>
      </rPr>
      <t xml:space="preserve">생성</t>
    </r>
  </si>
  <si>
    <r>
      <rPr>
        <sz val="10"/>
        <color rgb="FF000000"/>
        <rFont val="Arial"/>
        <family val="0"/>
        <charset val="1"/>
      </rPr>
      <t xml:space="preserve">[4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남은 시간 표시</t>
    </r>
  </si>
  <si>
    <r>
      <rPr>
        <sz val="10"/>
        <color rgb="FF000000"/>
        <rFont val="Noto Sans CJK SC"/>
        <family val="2"/>
      </rPr>
      <t xml:space="preserve">상태줄에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남은 시간 약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분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표시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시작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·3% </t>
    </r>
    <r>
      <rPr>
        <sz val="10"/>
        <color rgb="FF000000"/>
        <rFont val="Noto Sans CJK SC"/>
        <family val="2"/>
      </rPr>
      <t xml:space="preserve">이후부터</t>
    </r>
    <r>
      <rPr>
        <sz val="10"/>
        <color rgb="FF000000"/>
        <rFont val="Arial"/>
        <family val="0"/>
        <charset val="1"/>
      </rPr>
      <t xml:space="preserve">). 1·2</t>
    </r>
    <r>
      <rPr>
        <sz val="10"/>
        <color rgb="FF000000"/>
        <rFont val="Noto Sans CJK SC"/>
        <family val="2"/>
      </rPr>
      <t xml:space="preserve">단계 실제 시간 비율을 재서 진행률 배분 조정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내보내기 </t>
    </r>
    <r>
      <rPr>
        <sz val="10"/>
        <color rgb="FF000000"/>
        <rFont val="Arial"/>
        <family val="0"/>
        <charset val="1"/>
      </rPr>
      <t xml:space="preserve">50:50, </t>
    </r>
    <r>
      <rPr>
        <sz val="10"/>
        <color rgb="FF000000"/>
        <rFont val="Noto Sans CJK SC"/>
        <family val="2"/>
      </rPr>
      <t xml:space="preserve">미리보기 </t>
    </r>
    <r>
      <rPr>
        <sz val="10"/>
        <color rgb="FF000000"/>
        <rFont val="Arial"/>
        <family val="0"/>
        <charset val="1"/>
      </rPr>
      <t xml:space="preserve">75:25 (</t>
    </r>
    <r>
      <rPr>
        <sz val="10"/>
        <color rgb="FF000000"/>
        <rFont val="Noto Sans CJK SC"/>
        <family val="2"/>
      </rPr>
      <t xml:space="preserve">실측 </t>
    </r>
    <r>
      <rPr>
        <sz val="10"/>
        <color rgb="FF000000"/>
        <rFont val="Arial"/>
        <family val="0"/>
        <charset val="1"/>
      </rPr>
      <t xml:space="preserve">0.52 / 0.75 / 0.42)</t>
    </r>
  </si>
  <si>
    <t xml:space="preserve">af939c2</t>
  </si>
  <si>
    <r>
      <rPr>
        <sz val="10"/>
        <color rgb="FF000000"/>
        <rFont val="Arial"/>
        <family val="0"/>
        <charset val="1"/>
      </rPr>
      <t xml:space="preserve">[5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클립 목록 썸네일</t>
    </r>
  </si>
  <si>
    <r>
      <rPr>
        <sz val="10"/>
        <color rgb="FF000000"/>
        <rFont val="Noto Sans CJK SC"/>
        <family val="2"/>
      </rPr>
      <t xml:space="preserve">영상마다 시작점에서 조금 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최대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장면을 뒤에서 만들어 목록에 표시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자르기 시작점을 바꾸면 썸네일도 바뀜</t>
    </r>
    <r>
      <rPr>
        <sz val="10"/>
        <color rgb="FF000000"/>
        <rFont val="Arial"/>
        <family val="0"/>
        <charset val="1"/>
      </rPr>
      <t xml:space="preserve">. HEVC·VP9·</t>
    </r>
    <r>
      <rPr>
        <sz val="10"/>
        <color rgb="FF000000"/>
        <rFont val="Noto Sans CJK SC"/>
        <family val="2"/>
      </rPr>
      <t xml:space="preserve">회전 영상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사진에서 확인</t>
    </r>
  </si>
  <si>
    <t xml:space="preserve">612e0d2</t>
  </si>
  <si>
    <r>
      <rPr>
        <sz val="10"/>
        <color rgb="FF000000"/>
        <rFont val="Arial"/>
        <family val="0"/>
        <charset val="1"/>
      </rPr>
      <t xml:space="preserve">[6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음량 자동 맞춤</t>
    </r>
  </si>
  <si>
    <r>
      <rPr>
        <sz val="10"/>
        <color rgb="FF000000"/>
        <rFont val="Noto Sans CJK SC"/>
        <family val="2"/>
      </rPr>
      <t xml:space="preserve">최종 소리에 </t>
    </r>
    <r>
      <rPr>
        <sz val="10"/>
        <color rgb="FF000000"/>
        <rFont val="Arial"/>
        <family val="0"/>
        <charset val="1"/>
      </rPr>
      <t xml:space="preserve">loudnorm(-14 LUFS, </t>
    </r>
    <r>
      <rPr>
        <sz val="10"/>
        <color rgb="FF000000"/>
        <rFont val="Noto Sans CJK SC"/>
        <family val="2"/>
      </rPr>
      <t xml:space="preserve">최대 </t>
    </r>
    <r>
      <rPr>
        <sz val="10"/>
        <color rgb="FF000000"/>
        <rFont val="Arial"/>
        <family val="0"/>
        <charset val="1"/>
      </rPr>
      <t xml:space="preserve">-1.5 dBTP) </t>
    </r>
    <r>
      <rPr>
        <sz val="10"/>
        <color rgb="FF000000"/>
        <rFont val="Noto Sans CJK SC"/>
        <family val="2"/>
      </rPr>
      <t xml:space="preserve">적용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내보내기의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음량 자동 맞춤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체크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기본 켬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측정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노래 </t>
    </r>
    <r>
      <rPr>
        <sz val="10"/>
        <color rgb="FF000000"/>
        <rFont val="Arial"/>
        <family val="0"/>
        <charset val="1"/>
      </rPr>
      <t xml:space="preserve">10% → -13.5 LUFS, </t>
    </r>
    <r>
      <rPr>
        <sz val="10"/>
        <color rgb="FF000000"/>
        <rFont val="Noto Sans CJK SC"/>
        <family val="2"/>
      </rPr>
      <t xml:space="preserve">노래 </t>
    </r>
    <r>
      <rPr>
        <sz val="10"/>
        <color rgb="FF000000"/>
        <rFont val="Arial"/>
        <family val="0"/>
        <charset val="1"/>
      </rPr>
      <t xml:space="preserve">200% → -13.5 LUFS, </t>
    </r>
    <r>
      <rPr>
        <sz val="10"/>
        <color rgb="FF000000"/>
        <rFont val="Noto Sans CJK SC"/>
        <family val="2"/>
      </rPr>
      <t xml:space="preserve">끔 → </t>
    </r>
    <r>
      <rPr>
        <sz val="10"/>
        <color rgb="FF000000"/>
        <rFont val="Arial"/>
        <family val="0"/>
        <charset val="1"/>
      </rPr>
      <t xml:space="preserve">-16.0 LUFS</t>
    </r>
  </si>
  <si>
    <t xml:space="preserve">4cb720f</t>
  </si>
  <si>
    <r>
      <rPr>
        <sz val="10"/>
        <color rgb="FF000000"/>
        <rFont val="Arial"/>
        <family val="0"/>
        <charset val="1"/>
      </rPr>
      <t xml:space="preserve">[7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시작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끝 페이드</t>
    </r>
  </si>
  <si>
    <r>
      <rPr>
        <sz val="10"/>
        <color rgb="FF000000"/>
        <rFont val="Noto Sans CJK SC"/>
        <family val="2"/>
      </rPr>
      <t xml:space="preserve">내보내기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시작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끝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선택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없음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끝만 사라지기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짧게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초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길게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영상은 검은 화면으로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소리도 함께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측정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밝기 </t>
    </r>
    <r>
      <rPr>
        <sz val="10"/>
        <color rgb="FF000000"/>
        <rFont val="Arial"/>
        <family val="0"/>
        <charset val="1"/>
      </rPr>
      <t xml:space="preserve">19 → 126 → 21 (</t>
    </r>
    <r>
      <rPr>
        <sz val="10"/>
        <color rgb="FF000000"/>
        <rFont val="Noto Sans CJK SC"/>
        <family val="2"/>
      </rPr>
      <t xml:space="preserve">페이드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/1.5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)</t>
    </r>
  </si>
  <si>
    <t xml:space="preserve">3619d50</t>
  </si>
  <si>
    <r>
      <rPr>
        <sz val="10"/>
        <color rgb="FF000000"/>
        <rFont val="Arial"/>
        <family val="0"/>
        <charset val="1"/>
      </rPr>
      <t xml:space="preserve">[8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비트 컷 전환 효과</t>
    </r>
  </si>
  <si>
    <r>
      <rPr>
        <sz val="10"/>
        <color rgb="FF000000"/>
        <rFont val="Noto Sans CJK SC"/>
        <family val="2"/>
      </rPr>
      <t xml:space="preserve">음악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비트 탭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컷 전환 효과</t>
    </r>
    <r>
      <rPr>
        <sz val="10"/>
        <color rgb="FF000000"/>
        <rFont val="Arial"/>
        <family val="0"/>
        <charset val="1"/>
      </rPr>
      <t xml:space="preserve">': </t>
    </r>
    <r>
      <rPr>
        <sz val="10"/>
        <color rgb="FF000000"/>
        <rFont val="Noto Sans CJK SC"/>
        <family val="2"/>
      </rPr>
      <t xml:space="preserve">없음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번쩍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흰 플래시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) / </t>
    </r>
    <r>
      <rPr>
        <sz val="10"/>
        <color rgb="FF000000"/>
        <rFont val="Noto Sans CJK SC"/>
        <family val="2"/>
      </rPr>
      <t xml:space="preserve">줌 펀치</t>
    </r>
    <r>
      <rPr>
        <sz val="10"/>
        <color rgb="FF000000"/>
        <rFont val="Arial"/>
        <family val="0"/>
        <charset val="1"/>
      </rPr>
      <t xml:space="preserve">(12% </t>
    </r>
    <r>
      <rPr>
        <sz val="10"/>
        <color rgb="FF000000"/>
        <rFont val="Noto Sans CJK SC"/>
        <family val="2"/>
      </rPr>
      <t xml:space="preserve">확대 →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초에 원래대로</t>
    </r>
    <r>
      <rPr>
        <sz val="10"/>
        <color rgb="FF000000"/>
        <rFont val="Arial"/>
        <family val="0"/>
        <charset val="1"/>
      </rPr>
      <t xml:space="preserve">) / </t>
    </r>
    <r>
      <rPr>
        <sz val="10"/>
        <color rgb="FF000000"/>
        <rFont val="Noto Sans CJK SC"/>
        <family val="2"/>
      </rPr>
      <t xml:space="preserve">검은 깜빡임</t>
    </r>
    <r>
      <rPr>
        <sz val="10"/>
        <color rgb="FF000000"/>
        <rFont val="Arial"/>
        <family val="0"/>
        <charset val="1"/>
      </rPr>
      <t xml:space="preserve">(0.12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첫 조각에는 효과 없음</t>
    </r>
  </si>
  <si>
    <t xml:space="preserve">873f50a</t>
  </si>
  <si>
    <t xml:space="preserve">버그</t>
  </si>
  <si>
    <r>
      <rPr>
        <sz val="10"/>
        <color rgb="FF000000"/>
        <rFont val="Noto Sans CJK SC"/>
        <family val="2"/>
      </rPr>
      <t xml:space="preserve">번쩍 효과에서 끝 </t>
    </r>
    <r>
      <rPr>
        <sz val="10"/>
        <color rgb="FF000000"/>
        <rFont val="Arial"/>
        <family val="0"/>
        <charset val="1"/>
      </rPr>
      <t xml:space="preserve">0.17</t>
    </r>
    <r>
      <rPr>
        <sz val="10"/>
        <color rgb="FF000000"/>
        <rFont val="Noto Sans CJK SC"/>
        <family val="2"/>
      </rPr>
      <t xml:space="preserve">초 잘림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색 바램</t>
    </r>
  </si>
  <si>
    <r>
      <rPr>
        <sz val="10"/>
        <color rgb="FF000000"/>
        <rFont val="Noto Sans CJK SC"/>
        <family val="2"/>
      </rPr>
      <t xml:space="preserve">원인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번쩍 효과 조각만 </t>
    </r>
    <r>
      <rPr>
        <sz val="10"/>
        <color rgb="FF000000"/>
        <rFont val="Arial"/>
        <family val="0"/>
        <charset val="1"/>
      </rPr>
      <t xml:space="preserve">yuv444p</t>
    </r>
    <r>
      <rPr>
        <sz val="10"/>
        <color rgb="FF000000"/>
        <rFont val="Noto Sans CJK SC"/>
        <family val="2"/>
      </rPr>
      <t xml:space="preserve">로 저장 → 이어붙일 때 조각 경계마다 필터가 재시작되며 시간이 꼬임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소리 </t>
    </r>
    <r>
      <rPr>
        <sz val="10"/>
        <color rgb="FF000000"/>
        <rFont val="Arial"/>
        <family val="0"/>
        <charset val="1"/>
      </rPr>
      <t xml:space="preserve">0.36</t>
    </r>
    <r>
      <rPr>
        <sz val="10"/>
        <color rgb="FF000000"/>
        <rFont val="Noto Sans CJK SC"/>
        <family val="2"/>
      </rPr>
      <t xml:space="preserve">초 늦게 시작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끝 잘림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해결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모든 조각을 </t>
    </r>
    <r>
      <rPr>
        <sz val="10"/>
        <color rgb="FF000000"/>
        <rFont val="Arial"/>
        <family val="0"/>
        <charset val="1"/>
      </rPr>
      <t xml:space="preserve">yuv420p·</t>
    </r>
    <r>
      <rPr>
        <sz val="10"/>
        <color rgb="FF000000"/>
        <rFont val="Noto Sans CJK SC"/>
        <family val="2"/>
      </rPr>
      <t xml:space="preserve">같은 색 범위로 강제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이어붙인 뒤 프레임 번호로 시간 재계산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출력 </t>
    </r>
    <r>
      <rPr>
        <sz val="10"/>
        <color rgb="FF000000"/>
        <rFont val="Arial"/>
        <family val="0"/>
        <charset val="1"/>
      </rPr>
      <t xml:space="preserve">-t </t>
    </r>
    <r>
      <rPr>
        <sz val="10"/>
        <color rgb="FF000000"/>
        <rFont val="Noto Sans CJK SC"/>
        <family val="2"/>
      </rPr>
      <t xml:space="preserve">대신 필터에서 길이 맞춤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회귀 테스트 추가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색 정보가 다른 폰 영상 섞기는 수정 전에도 문제없음을 확인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사용자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늘어짐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제보와는 무관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</si>
  <si>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[9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제목 텍스트</t>
    </r>
  </si>
  <si>
    <r>
      <rPr>
        <sz val="10"/>
        <color rgb="FF000000"/>
        <rFont val="Arial"/>
        <family val="0"/>
        <charset val="1"/>
      </rPr>
      <t xml:space="preserve">'🔤 </t>
    </r>
    <r>
      <rPr>
        <sz val="10"/>
        <color rgb="FF000000"/>
        <rFont val="Noto Sans CJK SC"/>
        <family val="2"/>
      </rPr>
      <t xml:space="preserve">제목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탭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시간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문구 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여러 개</t>
    </r>
    <r>
      <rPr>
        <sz val="10"/>
        <color rgb="FF000000"/>
        <rFont val="Arial"/>
        <family val="0"/>
        <charset val="1"/>
      </rPr>
      <t xml:space="preserve">, \n </t>
    </r>
    <r>
      <rPr>
        <sz val="10"/>
        <color rgb="FF000000"/>
        <rFont val="Noto Sans CJK SC"/>
        <family val="2"/>
      </rPr>
      <t xml:space="preserve">줄바꿈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글꼴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설치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파일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크기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화면 높이 </t>
    </r>
    <r>
      <rPr>
        <sz val="10"/>
        <color rgb="FF000000"/>
        <rFont val="Arial"/>
        <family val="0"/>
        <charset val="1"/>
      </rPr>
      <t xml:space="preserve">%), </t>
    </r>
    <r>
      <rPr>
        <sz val="10"/>
        <color rgb="FF000000"/>
        <rFont val="Noto Sans CJK SC"/>
        <family val="2"/>
      </rPr>
      <t xml:space="preserve">굵게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글자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외곽선 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위치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가운데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위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아래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나타나는 시간</t>
    </r>
    <r>
      <rPr>
        <sz val="10"/>
        <color rgb="FF000000"/>
        <rFont val="Arial"/>
        <family val="0"/>
        <charset val="1"/>
      </rPr>
      <t xml:space="preserve">. ASS </t>
    </r>
    <r>
      <rPr>
        <sz val="10"/>
        <color rgb="FF000000"/>
        <rFont val="Noto Sans CJK SC"/>
        <family val="2"/>
      </rPr>
      <t xml:space="preserve">자막으로 그려 자막과 함께 써도 겹치지 않음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괄호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역슬래시 등 특수문자 처리</t>
    </r>
  </si>
  <si>
    <t xml:space="preserve">6ed8179</t>
  </si>
  <si>
    <t xml:space="preserve">계획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</si>
  <si>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차 로드맵 완료 →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차 로드맵</t>
    </r>
    <r>
      <rPr>
        <sz val="10"/>
        <color rgb="FF000000"/>
        <rFont val="Arial"/>
        <family val="0"/>
        <charset val="1"/>
      </rPr>
      <t xml:space="preserve">(10~14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수립</t>
    </r>
  </si>
  <si>
    <r>
      <rPr>
        <sz val="10"/>
        <color rgb="FF000000"/>
        <rFont val="Noto Sans CJK SC"/>
        <family val="2"/>
      </rPr>
      <t xml:space="preserve">같은 우선순위 기준으로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테스트 중 발견한 위험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불편을 정리</t>
    </r>
  </si>
  <si>
    <r>
      <rPr>
        <sz val="10"/>
        <color rgb="FF000000"/>
        <rFont val="Arial"/>
        <family val="0"/>
        <charset val="1"/>
      </rPr>
      <t xml:space="preserve">[10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디스크 공간 확인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결과 자동 검사</t>
    </r>
  </si>
  <si>
    <r>
      <rPr>
        <sz val="10"/>
        <color rgb="FF000000"/>
        <rFont val="Noto Sans CJK SC"/>
        <family val="2"/>
      </rPr>
      <t xml:space="preserve">렌더 시작 전 임시 폴더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저장 폴더 드라이브의 남은 공간을 추정치와 비교해 부족하면 바로 알림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같은 드라이브면 합산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실측의 약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배로 넉넉히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내보낸 뒤 결과를 다시 열어 영상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소리 트랙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화면 크기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길이를 확인하고 이상하면 경고</t>
    </r>
  </si>
  <si>
    <t xml:space="preserve">615470e</t>
  </si>
  <si>
    <r>
      <rPr>
        <sz val="10"/>
        <color rgb="FF000000"/>
        <rFont val="Arial"/>
        <family val="0"/>
        <charset val="1"/>
      </rPr>
      <t xml:space="preserve">[11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실행 취소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다시 실행</t>
    </r>
  </si>
  <si>
    <r>
      <rPr>
        <sz val="10"/>
        <color rgb="FF000000"/>
        <rFont val="Noto Sans CJK SC"/>
        <family val="2"/>
      </rPr>
      <t xml:space="preserve">편집 메뉴 </t>
    </r>
    <r>
      <rPr>
        <sz val="10"/>
        <color rgb="FF000000"/>
        <rFont val="Arial"/>
        <family val="0"/>
        <charset val="1"/>
      </rPr>
      <t xml:space="preserve">+ Ctrl+Z / Ctrl+Y(Ctrl+Shift+Z). </t>
    </r>
    <r>
      <rPr>
        <sz val="10"/>
        <color rgb="FF000000"/>
        <rFont val="Noto Sans CJK SC"/>
        <family val="2"/>
      </rPr>
      <t xml:space="preserve">편집이 멈추고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초 뒤 한 단계로 기록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슬라이더를 끌어도 한 번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최대 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Noto Sans CJK SC"/>
        <family val="2"/>
      </rPr>
      <t xml:space="preserve">단계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새로 만들기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열기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복구 때 기록 초기화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화면 테스트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클립 삭제 취소 → 자르기 취소 → 다시 실행 → 제목 추가 취소</t>
    </r>
  </si>
  <si>
    <t xml:space="preserve">1209b67</t>
  </si>
  <si>
    <r>
      <rPr>
        <sz val="10"/>
        <color rgb="FF000000"/>
        <rFont val="Arial"/>
        <family val="0"/>
        <charset val="1"/>
      </rPr>
      <t xml:space="preserve">[12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기본 플레이어로 열기</t>
    </r>
  </si>
  <si>
    <r>
      <rPr>
        <sz val="10"/>
        <color rgb="FF000000"/>
        <rFont val="Noto Sans CJK SC"/>
        <family val="2"/>
      </rPr>
      <t xml:space="preserve">미리보기 재생 바의 ↗ 버튼과 내보내기 완료 창의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재생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버튼 → </t>
    </r>
    <r>
      <rPr>
        <sz val="10"/>
        <color rgb="FF000000"/>
        <rFont val="Arial"/>
        <family val="0"/>
        <charset val="1"/>
      </rPr>
      <t xml:space="preserve">Windows </t>
    </r>
    <r>
      <rPr>
        <sz val="10"/>
        <color rgb="FF000000"/>
        <rFont val="Noto Sans CJK SC"/>
        <family val="2"/>
      </rPr>
      <t xml:space="preserve">기본 플레이어로 열기</t>
    </r>
    <r>
      <rPr>
        <sz val="10"/>
        <color rgb="FF000000"/>
        <rFont val="Arial"/>
        <family val="0"/>
        <charset val="1"/>
      </rPr>
      <t xml:space="preserve">. '</t>
    </r>
    <r>
      <rPr>
        <sz val="10"/>
        <color rgb="FF000000"/>
        <rFont val="Noto Sans CJK SC"/>
        <family val="2"/>
      </rPr>
      <t xml:space="preserve">노래 늘어짐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이 앱 재생기 문제인지 파일 문제인지 비교 가능</t>
    </r>
  </si>
  <si>
    <t xml:space="preserve">1a3c03d</t>
  </si>
  <si>
    <r>
      <rPr>
        <sz val="10"/>
        <color rgb="FF000000"/>
        <rFont val="Arial"/>
        <family val="0"/>
        <charset val="1"/>
      </rPr>
      <t xml:space="preserve">[13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조각 캐시</t>
    </r>
  </si>
  <si>
    <r>
      <rPr>
        <sz val="10"/>
        <color rgb="FF000000"/>
        <rFont val="Noto Sans CJK SC"/>
        <family val="2"/>
      </rPr>
      <t xml:space="preserve">조각을 </t>
    </r>
    <r>
      <rPr>
        <sz val="10"/>
        <color rgb="FF000000"/>
        <rFont val="Arial"/>
        <family val="0"/>
        <charset val="1"/>
      </rPr>
      <t xml:space="preserve">%LOCALAPPDATA%\ReelCut\cache</t>
    </r>
    <r>
      <rPr>
        <sz val="10"/>
        <color rgb="FF000000"/>
        <rFont val="Noto Sans CJK SC"/>
        <family val="2"/>
      </rPr>
      <t xml:space="preserve">에 저장해 두고 같은 원본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자르기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설정이면 재사용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원본 크기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수정 시각까지 비교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최대 </t>
    </r>
    <r>
      <rPr>
        <sz val="10"/>
        <color rgb="FF000000"/>
        <rFont val="Arial"/>
        <family val="0"/>
        <charset val="1"/>
      </rPr>
      <t xml:space="preserve">3GB, </t>
    </r>
    <r>
      <rPr>
        <sz val="10"/>
        <color rgb="FF000000"/>
        <rFont val="Noto Sans CJK SC"/>
        <family val="2"/>
      </rPr>
      <t xml:space="preserve">오래 안 쓴 것부터 정리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파일 메뉴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임시 조각 지우기</t>
    </r>
    <r>
      <rPr>
        <sz val="10"/>
        <color rgb="FF000000"/>
        <rFont val="Arial"/>
        <family val="0"/>
        <charset val="1"/>
      </rPr>
      <t xml:space="preserve">'. </t>
    </r>
    <r>
      <rPr>
        <sz val="10"/>
        <color rgb="FF000000"/>
        <rFont val="Noto Sans CJK SC"/>
        <family val="2"/>
      </rPr>
      <t xml:space="preserve">측정</t>
    </r>
    <r>
      <rPr>
        <sz val="10"/>
        <color rgb="FF000000"/>
        <rFont val="Arial"/>
        <family val="0"/>
        <charset val="1"/>
      </rPr>
      <t xml:space="preserve">(60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컷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개 미리보기</t>
    </r>
    <r>
      <rPr>
        <sz val="10"/>
        <color rgb="FF000000"/>
        <rFont val="Arial"/>
        <family val="0"/>
        <charset val="1"/>
      </rPr>
      <t xml:space="preserve">): 19.1</t>
    </r>
    <r>
      <rPr>
        <sz val="10"/>
        <color rgb="FF000000"/>
        <rFont val="Noto Sans CJK SC"/>
        <family val="2"/>
      </rPr>
      <t xml:space="preserve">초 → 자막만 바꿔 다시 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제목 추가 </t>
    </r>
    <r>
      <rPr>
        <sz val="10"/>
        <color rgb="FF000000"/>
        <rFont val="Arial"/>
        <family val="0"/>
        <charset val="1"/>
      </rPr>
      <t xml:space="preserve">6.5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한글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작은따옴표 사용자 폴더에서도 엣지 테스트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종 통과</t>
    </r>
  </si>
  <si>
    <r>
      <rPr>
        <sz val="10"/>
        <color rgb="FF000000"/>
        <rFont val="Noto Sans CJK SC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배 빨라짐</t>
    </r>
  </si>
  <si>
    <t xml:space="preserve">bf35efd</t>
  </si>
  <si>
    <r>
      <rPr>
        <sz val="10"/>
        <color rgb="FF000000"/>
        <rFont val="Arial"/>
        <family val="0"/>
        <charset val="1"/>
      </rPr>
      <t xml:space="preserve">[14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클립별 속도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소리</t>
    </r>
  </si>
  <si>
    <r>
      <rPr>
        <sz val="10"/>
        <color rgb="FF000000"/>
        <rFont val="Noto Sans CJK SC"/>
        <family val="2"/>
      </rPr>
      <t xml:space="preserve">선택한 클립의 속도</t>
    </r>
    <r>
      <rPr>
        <sz val="10"/>
        <color rgb="FF000000"/>
        <rFont val="Arial"/>
        <family val="0"/>
        <charset val="1"/>
      </rPr>
      <t xml:space="preserve">(0.25~4</t>
    </r>
    <r>
      <rPr>
        <sz val="10"/>
        <color rgb="FF000000"/>
        <rFont val="Noto Sans CJK SC"/>
        <family val="2"/>
      </rPr>
      <t xml:space="preserve">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소리는 음높이 유지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와 소리 크기</t>
    </r>
    <r>
      <rPr>
        <sz val="10"/>
        <color rgb="FF000000"/>
        <rFont val="Arial"/>
        <family val="0"/>
        <charset val="1"/>
      </rPr>
      <t xml:space="preserve">(0~200%)·</t>
    </r>
    <r>
      <rPr>
        <sz val="10"/>
        <color rgb="FF000000"/>
        <rFont val="Noto Sans CJK SC"/>
        <family val="2"/>
      </rPr>
      <t xml:space="preserve">음소거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목록에 ⏩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배</t>
    </r>
    <r>
      <rPr>
        <sz val="10"/>
        <color rgb="FF000000"/>
        <rFont val="Arial"/>
        <family val="0"/>
        <charset val="1"/>
      </rPr>
      <t xml:space="preserve">/🐢0.5</t>
    </r>
    <r>
      <rPr>
        <sz val="10"/>
        <color rgb="FF000000"/>
        <rFont val="Noto Sans CJK SC"/>
        <family val="2"/>
      </rPr>
      <t xml:space="preserve">배</t>
    </r>
    <r>
      <rPr>
        <sz val="10"/>
        <color rgb="FF000000"/>
        <rFont val="Arial"/>
        <family val="0"/>
        <charset val="1"/>
      </rPr>
      <t xml:space="preserve">/🔇 </t>
    </r>
    <r>
      <rPr>
        <sz val="10"/>
        <color rgb="FF000000"/>
        <rFont val="Noto Sans CJK SC"/>
        <family val="2"/>
      </rPr>
      <t xml:space="preserve">표시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전체 길이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비트 맞춤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자동 자막 시간 모두 속도 반영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측정</t>
    </r>
    <r>
      <rPr>
        <sz val="10"/>
        <color rgb="FF000000"/>
        <rFont val="Arial"/>
        <family val="0"/>
        <charset val="1"/>
      </rPr>
      <t xml:space="preserve">: 0.5</t>
    </r>
    <r>
      <rPr>
        <sz val="10"/>
        <color rgb="FF000000"/>
        <rFont val="Noto Sans CJK SC"/>
        <family val="2"/>
      </rPr>
      <t xml:space="preserve">배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/2</t>
    </r>
    <r>
      <rPr>
        <sz val="10"/>
        <color rgb="FF000000"/>
        <rFont val="Noto Sans CJK SC"/>
        <family val="2"/>
      </rPr>
      <t xml:space="preserve">배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/4</t>
    </r>
    <r>
      <rPr>
        <sz val="10"/>
        <color rgb="FF000000"/>
        <rFont val="Noto Sans CJK SC"/>
        <family val="2"/>
      </rPr>
      <t xml:space="preserve">배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초 정확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프레임 확인으로 원본 위치도 맞음</t>
    </r>
  </si>
  <si>
    <t xml:space="preserve">e6c4fab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</si>
  <si>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차 로드맵 완료 →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차 로드맵</t>
    </r>
    <r>
      <rPr>
        <sz val="10"/>
        <color rgb="FF000000"/>
        <rFont val="Arial"/>
        <family val="0"/>
        <charset val="1"/>
      </rPr>
      <t xml:space="preserve">(15~18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수립</t>
    </r>
  </si>
  <si>
    <r>
      <rPr>
        <sz val="10"/>
        <color rgb="FF000000"/>
        <rFont val="Noto Sans CJK SC"/>
        <family val="2"/>
      </rPr>
      <t xml:space="preserve">사용자 확인이 필요한 항목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실제 자막 모델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재생기 소리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과 편의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완성도 기능</t>
    </r>
  </si>
  <si>
    <r>
      <rPr>
        <sz val="10"/>
        <color rgb="FF000000"/>
        <rFont val="Arial"/>
        <family val="0"/>
        <charset val="1"/>
      </rPr>
      <t xml:space="preserve">[17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타임라인 막대</t>
    </r>
  </si>
  <si>
    <r>
      <rPr>
        <sz val="10"/>
        <color rgb="FF000000"/>
        <rFont val="Noto Sans CJK SC"/>
        <family val="2"/>
      </rPr>
      <t xml:space="preserve">미리보기 아래에 완성 영상 흐름 표시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클립 조각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파일별 색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컷 경계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자막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제목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화면 속 화면 줄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마우스를 올리면 클립 이름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누르면 그 클립 선택</t>
    </r>
  </si>
  <si>
    <t xml:space="preserve">6a031d7</t>
  </si>
  <si>
    <r>
      <rPr>
        <sz val="10"/>
        <color rgb="FF000000"/>
        <rFont val="Arial"/>
        <family val="0"/>
        <charset val="1"/>
      </rPr>
      <t xml:space="preserve">[18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비트 강약 반영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컷 리듬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</si>
  <si>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음악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비트 탭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컷 리듬</t>
    </r>
    <r>
      <rPr>
        <sz val="10"/>
        <color rgb="FF000000"/>
        <rFont val="Arial"/>
        <family val="0"/>
        <charset val="1"/>
      </rPr>
      <t xml:space="preserve">': </t>
    </r>
    <r>
      <rPr>
        <sz val="10"/>
        <color rgb="FF000000"/>
        <rFont val="Noto Sans CJK SC"/>
        <family val="2"/>
      </rPr>
      <t xml:space="preserve">일정하게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센 비트에서만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신나는 부분은 빠르게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비트 분석 때 비트별 세기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비트 직후 </t>
    </r>
    <r>
      <rPr>
        <sz val="10"/>
        <color rgb="FF000000"/>
        <rFont val="Arial"/>
        <family val="0"/>
        <charset val="1"/>
      </rPr>
      <t xml:space="preserve">60ms </t>
    </r>
    <r>
      <rPr>
        <sz val="10"/>
        <color rgb="FF000000"/>
        <rFont val="Noto Sans CJK SC"/>
        <family val="2"/>
      </rPr>
      <t xml:space="preserve">음량을 주변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비트 최댓값과 비교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와 구간 음량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을 함께 저장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합성 곡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조용한 절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시끄러운 후렴</t>
    </r>
    <r>
      <rPr>
        <sz val="10"/>
        <color rgb="FF000000"/>
        <rFont val="Arial"/>
        <family val="0"/>
        <charset val="1"/>
      </rPr>
      <t xml:space="preserve">, 4</t>
    </r>
    <r>
      <rPr>
        <sz val="10"/>
        <color rgb="FF000000"/>
        <rFont val="Noto Sans CJK SC"/>
        <family val="2"/>
      </rPr>
      <t xml:space="preserve">박 중 첫 박 강박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검증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센 비트 모드 컷의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가 강박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신나는 부분 모드는 후렴 컷 </t>
    </r>
    <r>
      <rPr>
        <sz val="10"/>
        <color rgb="FF000000"/>
        <rFont val="Arial"/>
        <family val="0"/>
        <charset val="1"/>
      </rPr>
      <t xml:space="preserve">33</t>
    </r>
    <r>
      <rPr>
        <sz val="10"/>
        <color rgb="FF000000"/>
        <rFont val="Noto Sans CJK SC"/>
        <family val="2"/>
      </rPr>
      <t xml:space="preserve">개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절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개</t>
    </r>
  </si>
  <si>
    <t xml:space="preserve">a203b11</t>
  </si>
  <si>
    <r>
      <rPr>
        <sz val="10"/>
        <color rgb="FF000000"/>
        <rFont val="Arial"/>
        <family val="0"/>
        <charset val="1"/>
      </rPr>
      <t xml:space="preserve">[18</t>
    </r>
    <r>
      <rPr>
        <sz val="10"/>
        <color rgb="FF000000"/>
        <rFont val="Noto Sans CJK SC"/>
        <family val="2"/>
      </rPr>
      <t xml:space="preserve">순위 중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센 비트 판정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컷 개수 문제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건</t>
    </r>
  </si>
  <si>
    <r>
      <rPr>
        <sz val="10"/>
        <color rgb="FF000000"/>
        <rFont val="Noto Sans CJK SC"/>
        <family val="2"/>
      </rPr>
      <t xml:space="preserve">① 곡 전체 순위로 세기를 매기자 후렴의 모든 박이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세다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로 판정 → 주변 비트 대비 세기로 변경</t>
    </r>
    <r>
      <rPr>
        <sz val="10"/>
        <color rgb="FF000000"/>
        <rFont val="Arial"/>
        <family val="0"/>
        <charset val="1"/>
      </rPr>
      <t xml:space="preserve">. ② </t>
    </r>
    <r>
      <rPr>
        <sz val="10"/>
        <color rgb="FF000000"/>
        <rFont val="Noto Sans CJK SC"/>
        <family val="2"/>
      </rPr>
      <t xml:space="preserve">비트가 고르게 센 곡에서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센 비트에서만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이 오히려 컷이 더 많음</t>
    </r>
    <r>
      <rPr>
        <sz val="10"/>
        <color rgb="FF000000"/>
        <rFont val="Arial"/>
        <family val="0"/>
        <charset val="1"/>
      </rPr>
      <t xml:space="preserve">(70</t>
    </r>
    <r>
      <rPr>
        <sz val="10"/>
        <color rgb="FF000000"/>
        <rFont val="Noto Sans CJK SC"/>
        <family val="2"/>
      </rPr>
      <t xml:space="preserve">개 </t>
    </r>
    <r>
      <rPr>
        <sz val="10"/>
        <color rgb="FF000000"/>
        <rFont val="Arial"/>
        <family val="0"/>
        <charset val="1"/>
      </rPr>
      <t xml:space="preserve">vs 37</t>
    </r>
    <r>
      <rPr>
        <sz val="10"/>
        <color rgb="FF000000"/>
        <rFont val="Noto Sans CJK SC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) → </t>
    </r>
    <r>
      <rPr>
        <sz val="10"/>
        <color rgb="FF000000"/>
        <rFont val="Noto Sans CJK SC"/>
        <family val="2"/>
      </rPr>
      <t xml:space="preserve">일정 간격보다 자주 바꾸지 않도록</t>
    </r>
    <r>
      <rPr>
        <sz val="10"/>
        <color rgb="FF000000"/>
        <rFont val="Arial"/>
        <family val="0"/>
        <charset val="1"/>
      </rPr>
      <t xml:space="preserve">(36</t>
    </r>
    <r>
      <rPr>
        <sz val="10"/>
        <color rgb="FF000000"/>
        <rFont val="Noto Sans CJK SC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</si>
  <si>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차 로드맵</t>
    </r>
    <r>
      <rPr>
        <sz val="10"/>
        <color rgb="FF000000"/>
        <rFont val="Arial"/>
        <family val="0"/>
        <charset val="1"/>
      </rPr>
      <t xml:space="preserve">(19~24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수립</t>
    </r>
  </si>
  <si>
    <r>
      <rPr>
        <sz val="10"/>
        <color rgb="FF000000"/>
        <rFont val="Arial"/>
        <family val="0"/>
        <charset val="1"/>
      </rPr>
      <t xml:space="preserve">15·16</t>
    </r>
    <r>
      <rPr>
        <sz val="10"/>
        <color rgb="FF000000"/>
        <rFont val="Noto Sans CJK SC"/>
        <family val="2"/>
      </rPr>
      <t xml:space="preserve">순위는 사용자 확인 대기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같은 기준으로 진단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오류 기록</t>
    </r>
    <r>
      <rPr>
        <sz val="10"/>
        <color rgb="FF000000"/>
        <rFont val="Arial"/>
        <family val="0"/>
        <charset val="1"/>
      </rPr>
      <t xml:space="preserve">)·</t>
    </r>
    <r>
      <rPr>
        <sz val="10"/>
        <color rgb="FF000000"/>
        <rFont val="Noto Sans CJK SC"/>
        <family val="2"/>
      </rPr>
      <t xml:space="preserve">대규모 안정성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단축키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켄 번즈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덕킹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색감 필터 순</t>
    </r>
  </si>
  <si>
    <r>
      <rPr>
        <sz val="10"/>
        <color rgb="FF000000"/>
        <rFont val="Arial"/>
        <family val="0"/>
        <charset val="1"/>
      </rPr>
      <t xml:space="preserve">[19</t>
    </r>
    <r>
      <rPr>
        <sz val="10"/>
        <color rgb="FF000000"/>
        <rFont val="Noto Sans CJK SC"/>
        <family val="2"/>
      </rPr>
      <t xml:space="preserve">순위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오류 기록 파일</t>
    </r>
  </si>
  <si>
    <r>
      <rPr>
        <sz val="10"/>
        <color rgb="FF000000"/>
        <rFont val="Arial"/>
        <family val="0"/>
        <charset val="1"/>
      </rPr>
      <t xml:space="preserve">%LOCALAPPDATA%\ReelCut\logs\reelcut.log</t>
    </r>
    <r>
      <rPr>
        <sz val="10"/>
        <color rgb="FF000000"/>
        <rFont val="Noto Sans CJK SC"/>
        <family val="2"/>
      </rPr>
      <t xml:space="preserve">에 시작 정보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작업 실패 상세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파이썬 추적</t>
    </r>
    <r>
      <rPr>
        <sz val="10"/>
        <color rgb="FF000000"/>
        <rFont val="Arial"/>
        <family val="0"/>
        <charset val="1"/>
      </rPr>
      <t xml:space="preserve">), ffmpeg </t>
    </r>
    <r>
      <rPr>
        <sz val="10"/>
        <color rgb="FF000000"/>
        <rFont val="Noto Sans CJK SC"/>
        <family val="2"/>
      </rPr>
      <t xml:space="preserve">실패 명령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출력 </t>
    </r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줄을 기록</t>
    </r>
    <r>
      <rPr>
        <sz val="10"/>
        <color rgb="FF000000"/>
        <rFont val="Arial"/>
        <family val="0"/>
        <charset val="1"/>
      </rPr>
      <t xml:space="preserve">(1MB×3</t>
    </r>
    <r>
      <rPr>
        <sz val="10"/>
        <color rgb="FF000000"/>
        <rFont val="Noto Sans CJK SC"/>
        <family val="2"/>
      </rPr>
      <t xml:space="preserve">개 순환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예상 못한 오류는 안내 창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작업은 자동 저장됨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기록 위치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도움말 메뉴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오류 기록 폴더 열기</t>
    </r>
    <r>
      <rPr>
        <sz val="10"/>
        <color rgb="FF000000"/>
        <rFont val="Arial"/>
        <family val="0"/>
        <charset val="1"/>
      </rPr>
      <t xml:space="preserve">'</t>
    </r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</si>
  <si>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이번 커밋</t>
    </r>
    <r>
      <rPr>
        <sz val="10"/>
        <color rgb="FF000000"/>
        <rFont val="Arial"/>
        <family val="0"/>
        <charset val="1"/>
      </rPr>
      <t xml:space="preserve">)</t>
    </r>
  </si>
  <si>
    <t xml:space="preserve">클립 개수에 맞춰 노래 끊기 요청</t>
  </si>
  <si>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개 영상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길이 제각각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을 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초마다 끊어 이으면 </t>
    </r>
    <r>
      <rPr>
        <sz val="10"/>
        <color rgb="FF000000"/>
        <rFont val="Arial"/>
        <family val="0"/>
        <charset val="1"/>
      </rPr>
      <t xml:space="preserve">8×N</t>
    </r>
    <r>
      <rPr>
        <sz val="10"/>
        <color rgb="FF000000"/>
        <rFont val="Noto Sans CJK SC"/>
        <family val="2"/>
      </rPr>
      <t xml:space="preserve">초에 영상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노래가 끝나야 함 →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순위로 바로 진행</t>
    </r>
  </si>
  <si>
    <r>
      <rPr>
        <sz val="10"/>
        <color rgb="FF000000"/>
        <rFont val="Noto Sans CJK SC"/>
        <family val="2"/>
      </rPr>
      <t xml:space="preserve">클립 개수 </t>
    </r>
    <r>
      <rPr>
        <sz val="10"/>
        <color rgb="FF000000"/>
        <rFont val="Arial"/>
        <family val="0"/>
        <charset val="1"/>
      </rPr>
      <t xml:space="preserve">× N</t>
    </r>
    <r>
      <rPr>
        <sz val="10"/>
        <color rgb="FF000000"/>
        <rFont val="Noto Sans CJK SC"/>
        <family val="2"/>
      </rPr>
      <t xml:space="preserve">초 영상 길이</t>
    </r>
  </si>
  <si>
    <r>
      <rPr>
        <sz val="10"/>
        <color rgb="FF000000"/>
        <rFont val="Noto Sans CJK SC"/>
        <family val="2"/>
      </rPr>
      <t xml:space="preserve">자르는 기준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음악 비트마다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일정한 초마다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과 영상 길이 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클립 개수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컷 길이</t>
    </r>
    <r>
      <rPr>
        <sz val="10"/>
        <color rgb="FF000000"/>
        <rFont val="Arial"/>
        <family val="0"/>
        <charset val="1"/>
      </rPr>
      <t xml:space="preserve">" </t>
    </r>
    <r>
      <rPr>
        <sz val="10"/>
        <color rgb="FF000000"/>
        <rFont val="Noto Sans CJK SC"/>
        <family val="2"/>
      </rPr>
      <t xml:space="preserve">추가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클립마다 한 컷씩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파일 순서 또는 무작위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노래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영상 모두 거기서 끝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정보 줄에 완성 길이와 경고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음악이 짧음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컷보다 짧은 클립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표시</t>
    </r>
  </si>
  <si>
    <r>
      <rPr>
        <sz val="10"/>
        <color rgb="FF000000"/>
        <rFont val="Noto Sans CJK SC"/>
        <family val="2"/>
      </rPr>
      <t xml:space="preserve">완료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클립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개 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초 </t>
    </r>
    <r>
      <rPr>
        <sz val="10"/>
        <color rgb="FF000000"/>
        <rFont val="Arial"/>
        <family val="0"/>
        <charset val="1"/>
      </rPr>
      <t xml:space="preserve">= 0:20.0, </t>
    </r>
    <r>
      <rPr>
        <sz val="10"/>
        <color rgb="FF000000"/>
        <rFont val="Noto Sans CJK SC"/>
        <family val="2"/>
      </rPr>
      <t xml:space="preserve">미리보기 </t>
    </r>
    <r>
      <rPr>
        <sz val="10"/>
        <color rgb="FF000000"/>
        <rFont val="Arial"/>
        <family val="0"/>
        <charset val="1"/>
      </rPr>
      <t xml:space="preserve">20.0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타임라인 조각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개</t>
    </r>
  </si>
  <si>
    <t xml:space="preserve">5b7fb40</t>
  </si>
  <si>
    <t xml:space="preserve">단축키</t>
  </si>
  <si>
    <r>
      <rPr>
        <sz val="10"/>
        <color rgb="FF000000"/>
        <rFont val="Noto Sans CJK SC"/>
        <family val="2"/>
      </rPr>
      <t xml:space="preserve">재생 메뉴 추가</t>
    </r>
    <r>
      <rPr>
        <sz val="10"/>
        <color rgb="FF000000"/>
        <rFont val="Arial"/>
        <family val="0"/>
        <charset val="1"/>
      </rPr>
      <t xml:space="preserve">: Space </t>
    </r>
    <r>
      <rPr>
        <sz val="10"/>
        <color rgb="FF000000"/>
        <rFont val="Noto Sans CJK SC"/>
        <family val="2"/>
      </rPr>
      <t xml:space="preserve">재생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일시정지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글자 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음악 게이지에서는 원래 동작</t>
    </r>
    <r>
      <rPr>
        <sz val="10"/>
        <color rgb="FF000000"/>
        <rFont val="Arial"/>
        <family val="0"/>
        <charset val="1"/>
      </rPr>
      <t xml:space="preserve">), Ctrl+←/→ 5</t>
    </r>
    <r>
      <rPr>
        <sz val="10"/>
        <color rgb="FF000000"/>
        <rFont val="Noto Sans CJK SC"/>
        <family val="2"/>
      </rPr>
      <t xml:space="preserve">초 이동</t>
    </r>
    <r>
      <rPr>
        <sz val="10"/>
        <color rgb="FF000000"/>
        <rFont val="Arial"/>
        <family val="0"/>
        <charset val="1"/>
      </rPr>
      <t xml:space="preserve">, F5·Ctrl+R </t>
    </r>
    <r>
      <rPr>
        <sz val="10"/>
        <color rgb="FF000000"/>
        <rFont val="Noto Sans CJK SC"/>
        <family val="2"/>
      </rPr>
      <t xml:space="preserve">미리보기</t>
    </r>
    <r>
      <rPr>
        <sz val="10"/>
        <color rgb="FF000000"/>
        <rFont val="Arial"/>
        <family val="0"/>
        <charset val="1"/>
      </rPr>
      <t xml:space="preserve">, Ctrl+E </t>
    </r>
    <r>
      <rPr>
        <sz val="10"/>
        <color rgb="FF000000"/>
        <rFont val="Noto Sans CJK SC"/>
        <family val="2"/>
      </rPr>
      <t xml:space="preserve">내보내기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클립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작은 화면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자막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제목 목록에서 </t>
    </r>
    <r>
      <rPr>
        <sz val="10"/>
        <color rgb="FF000000"/>
        <rFont val="Arial"/>
        <family val="0"/>
        <charset val="1"/>
      </rPr>
      <t xml:space="preserve">Delete</t>
    </r>
    <r>
      <rPr>
        <sz val="10"/>
        <color rgb="FF000000"/>
        <rFont val="Noto Sans CJK SC"/>
        <family val="2"/>
      </rPr>
      <t xml:space="preserve">로 지우기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작업 중에는 단축키로 렌더링이 겹쳐 시작되지 않게 막음</t>
    </r>
  </si>
  <si>
    <r>
      <rPr>
        <sz val="10"/>
        <color rgb="FF000000"/>
        <rFont val="Noto Sans CJK SC"/>
        <family val="2"/>
      </rPr>
      <t xml:space="preserve">완료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화면 테스트로 키 동작 확인</t>
    </r>
  </si>
  <si>
    <t xml:space="preserve">버그 수정</t>
  </si>
  <si>
    <r>
      <rPr>
        <sz val="10"/>
        <color rgb="FF000000"/>
        <rFont val="Noto Sans CJK SC"/>
        <family val="2"/>
      </rPr>
      <t xml:space="preserve">자막 줄 삭제가 실행 취소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자동 저장에 안 잡힘</t>
    </r>
  </si>
  <si>
    <r>
      <rPr>
        <sz val="10"/>
        <color rgb="FF000000"/>
        <rFont val="Noto Sans CJK SC"/>
        <family val="2"/>
      </rPr>
      <t xml:space="preserve">자막 탭에서 줄을 지워도 변경 알림이 없어 실행 취소 기록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자동 저장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타임라인 갱신이 빠졌음 → 변경 알림 추가</t>
    </r>
  </si>
  <si>
    <t xml:space="preserve">대규모 프로젝트 스트레스 테스트</t>
  </si>
  <si>
    <r>
      <rPr>
        <sz val="10"/>
        <color rgb="FF000000"/>
        <rFont val="Arial"/>
        <family val="0"/>
        <charset val="1"/>
      </rPr>
      <t xml:space="preserve">720p </t>
    </r>
    <r>
      <rPr>
        <sz val="10"/>
        <color rgb="FF000000"/>
        <rFont val="Noto Sans CJK SC"/>
        <family val="2"/>
      </rPr>
      <t xml:space="preserve">클립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개 </t>
    </r>
    <r>
      <rPr>
        <sz val="10"/>
        <color rgb="FF000000"/>
        <rFont val="Arial"/>
        <family val="0"/>
        <charset val="1"/>
      </rPr>
      <t xml:space="preserve">+ 10</t>
    </r>
    <r>
      <rPr>
        <sz val="10"/>
        <color rgb="FF000000"/>
        <rFont val="Noto Sans CJK SC"/>
        <family val="2"/>
      </rPr>
      <t xml:space="preserve">분 음악</t>
    </r>
    <r>
      <rPr>
        <sz val="10"/>
        <color rgb="FF000000"/>
        <rFont val="Arial"/>
        <family val="0"/>
        <charset val="1"/>
      </rPr>
      <t xml:space="preserve">(128 BPM), 1</t>
    </r>
    <r>
      <rPr>
        <sz val="10"/>
        <color rgb="FF000000"/>
        <rFont val="Noto Sans CJK SC"/>
        <family val="2"/>
      </rPr>
      <t xml:space="preserve">비트마다 컷 → 조각 </t>
    </r>
    <r>
      <rPr>
        <sz val="10"/>
        <color rgb="FF000000"/>
        <rFont val="Arial"/>
        <family val="0"/>
        <charset val="1"/>
      </rPr>
      <t xml:space="preserve">1281</t>
    </r>
    <r>
      <rPr>
        <sz val="10"/>
        <color rgb="FF000000"/>
        <rFont val="Noto Sans CJK SC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자막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줄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계획 </t>
    </r>
    <r>
      <rPr>
        <sz val="10"/>
        <color rgb="FF000000"/>
        <rFont val="Arial"/>
        <family val="0"/>
        <charset val="1"/>
      </rPr>
      <t xml:space="preserve">0.0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렌더링 </t>
    </r>
    <r>
      <rPr>
        <sz val="10"/>
        <color rgb="FF000000"/>
        <rFont val="Arial"/>
        <family val="0"/>
        <charset val="1"/>
      </rPr>
      <t xml:space="preserve">520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(4</t>
    </r>
    <r>
      <rPr>
        <sz val="10"/>
        <color rgb="FF000000"/>
        <rFont val="Noto Sans CJK SC"/>
        <family val="2"/>
      </rPr>
      <t xml:space="preserve">코어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다른 작업과 동시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메모리 </t>
    </r>
    <r>
      <rPr>
        <sz val="10"/>
        <color rgb="FF000000"/>
        <rFont val="Arial"/>
        <family val="0"/>
        <charset val="1"/>
      </rPr>
      <t xml:space="preserve">178MB(</t>
    </r>
    <r>
      <rPr>
        <sz val="10"/>
        <color rgb="FF000000"/>
        <rFont val="Noto Sans CJK SC"/>
        <family val="2"/>
      </rPr>
      <t xml:space="preserve">앱</t>
    </r>
    <r>
      <rPr>
        <sz val="10"/>
        <color rgb="FF000000"/>
        <rFont val="Arial"/>
        <family val="0"/>
        <charset val="1"/>
      </rPr>
      <t xml:space="preserve">)·462MB(ffmpeg). 9</t>
    </r>
    <r>
      <rPr>
        <sz val="10"/>
        <color rgb="FF000000"/>
        <rFont val="Noto Sans CJK SC"/>
        <family val="2"/>
      </rPr>
      <t xml:space="preserve">분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초 이후에도 컷이 비트와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프레임 이내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중앙값 </t>
    </r>
    <r>
      <rPr>
        <sz val="10"/>
        <color rgb="FF000000"/>
        <rFont val="Arial"/>
        <family val="0"/>
        <charset val="1"/>
      </rPr>
      <t xml:space="preserve">0.7ms), </t>
    </r>
    <r>
      <rPr>
        <sz val="10"/>
        <color rgb="FF000000"/>
        <rFont val="Noto Sans CJK SC"/>
        <family val="2"/>
      </rPr>
      <t xml:space="preserve">끝부분 소리 어긋남 </t>
    </r>
    <r>
      <rPr>
        <sz val="10"/>
        <color rgb="FF000000"/>
        <rFont val="Arial"/>
        <family val="0"/>
        <charset val="1"/>
      </rPr>
      <t xml:space="preserve">±20ms </t>
    </r>
    <r>
      <rPr>
        <sz val="10"/>
        <color rgb="FF000000"/>
        <rFont val="Noto Sans CJK SC"/>
        <family val="2"/>
      </rPr>
      <t xml:space="preserve">이내</t>
    </r>
  </si>
  <si>
    <r>
      <rPr>
        <sz val="10"/>
        <color rgb="FF000000"/>
        <rFont val="Noto Sans CJK SC"/>
        <family val="2"/>
      </rPr>
      <t xml:space="preserve">통과 </t>
    </r>
    <r>
      <rPr>
        <sz val="10"/>
        <color rgb="FF000000"/>
        <rFont val="Arial"/>
        <family val="0"/>
        <charset val="1"/>
      </rPr>
      <t xml:space="preserve">· 600.0</t>
    </r>
    <r>
      <rPr>
        <sz val="10"/>
        <color rgb="FF000000"/>
        <rFont val="Noto Sans CJK SC"/>
        <family val="2"/>
      </rPr>
      <t xml:space="preserve">초 정확</t>
    </r>
  </si>
  <si>
    <t xml:space="preserve">사진 켄 번즈 효과</t>
  </si>
  <si>
    <r>
      <rPr>
        <sz val="10"/>
        <color rgb="FF000000"/>
        <rFont val="Noto Sans CJK SC"/>
        <family val="2"/>
      </rPr>
      <t xml:space="preserve">클립마다 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사진 움직임</t>
    </r>
    <r>
      <rPr>
        <sz val="10"/>
        <color rgb="FF000000"/>
        <rFont val="Arial"/>
        <family val="0"/>
        <charset val="1"/>
      </rPr>
      <t xml:space="preserve">": </t>
    </r>
    <r>
      <rPr>
        <sz val="10"/>
        <color rgb="FF000000"/>
        <rFont val="Noto Sans CJK SC"/>
        <family val="2"/>
      </rPr>
      <t xml:space="preserve">자동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확대→오른쪽→축소→왼쪽 번갈아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기본</t>
    </r>
    <r>
      <rPr>
        <sz val="10"/>
        <color rgb="FF000000"/>
        <rFont val="Arial"/>
        <family val="0"/>
        <charset val="1"/>
      </rPr>
      <t xml:space="preserve">)·</t>
    </r>
    <r>
      <rPr>
        <sz val="10"/>
        <color rgb="FF000000"/>
        <rFont val="Noto Sans CJK SC"/>
        <family val="2"/>
      </rPr>
      <t xml:space="preserve">확대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축소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좌우 이동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없음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사진을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배로 한 번 키운 뒤 </t>
    </r>
    <r>
      <rPr>
        <sz val="10"/>
        <color rgb="FF000000"/>
        <rFont val="Arial"/>
        <family val="0"/>
        <charset val="1"/>
      </rPr>
      <t xml:space="preserve">zoompan</t>
    </r>
    <r>
      <rPr>
        <sz val="10"/>
        <color rgb="FF000000"/>
        <rFont val="Noto Sans CJK SC"/>
        <family val="2"/>
      </rPr>
      <t xml:space="preserve">으로 잘라내 떨림 없이 움직임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짧은 컷일수록 덜 움직임</t>
    </r>
    <r>
      <rPr>
        <sz val="10"/>
        <color rgb="FF000000"/>
        <rFont val="Arial"/>
        <family val="0"/>
        <charset val="1"/>
      </rPr>
      <t xml:space="preserve">(4%~15%). </t>
    </r>
    <r>
      <rPr>
        <sz val="10"/>
        <color rgb="FF000000"/>
        <rFont val="Noto Sans CJK SC"/>
        <family val="2"/>
      </rPr>
      <t xml:space="preserve">사진 렌더링 시간은 약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배</t>
    </r>
    <r>
      <rPr>
        <sz val="10"/>
        <color rgb="FF000000"/>
        <rFont val="Arial"/>
        <family val="0"/>
        <charset val="1"/>
      </rPr>
      <t xml:space="preserve">(1080×1920 </t>
    </r>
    <r>
      <rPr>
        <sz val="10"/>
        <color rgb="FF000000"/>
        <rFont val="Noto Sans CJK SC"/>
        <family val="2"/>
      </rPr>
      <t xml:space="preserve">사진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장 </t>
    </r>
    <r>
      <rPr>
        <sz val="10"/>
        <color rgb="FF000000"/>
        <rFont val="Arial"/>
        <family val="0"/>
        <charset val="1"/>
      </rPr>
      <t xml:space="preserve">9.5→21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</si>
  <si>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완료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화면 확인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테스트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개 추가</t>
    </r>
  </si>
  <si>
    <r>
      <rPr>
        <sz val="10"/>
        <color rgb="FF000000"/>
        <rFont val="Noto Sans CJK SC"/>
        <family val="2"/>
      </rPr>
      <t xml:space="preserve">말할 때 음악 자동 줄이기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덕킹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</si>
  <si>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음악 탭 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말할 때 음악 줄이기</t>
    </r>
    <r>
      <rPr>
        <sz val="10"/>
        <color rgb="FF000000"/>
        <rFont val="Arial"/>
        <family val="0"/>
        <charset val="1"/>
      </rPr>
      <t xml:space="preserve">": </t>
    </r>
    <r>
      <rPr>
        <sz val="10"/>
        <color rgb="FF000000"/>
        <rFont val="Noto Sans CJK SC"/>
        <family val="2"/>
      </rPr>
      <t xml:space="preserve">줄이지 않음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약하게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보통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세게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원본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작은 화면 소리를 섞어 </t>
    </r>
    <r>
      <rPr>
        <sz val="10"/>
        <color rgb="FF000000"/>
        <rFont val="Arial"/>
        <family val="0"/>
        <charset val="1"/>
      </rPr>
      <t xml:space="preserve">sidechaincompress</t>
    </r>
    <r>
      <rPr>
        <sz val="10"/>
        <color rgb="FF000000"/>
        <rFont val="Noto Sans CJK SC"/>
        <family val="2"/>
      </rPr>
      <t xml:space="preserve">로 음악을 누름</t>
    </r>
    <r>
      <rPr>
        <sz val="10"/>
        <color rgb="FF000000"/>
        <rFont val="Arial"/>
        <family val="0"/>
        <charset val="1"/>
      </rPr>
      <t xml:space="preserve">(120Hz </t>
    </r>
    <r>
      <rPr>
        <sz val="10"/>
        <color rgb="FF000000"/>
        <rFont val="Noto Sans CJK SC"/>
        <family val="2"/>
      </rPr>
      <t xml:space="preserve">아래 웅웅거림은 무시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실제 크기로 맞춰 보니 처음 값은 너무 약했음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최대 </t>
    </r>
    <r>
      <rPr>
        <sz val="10"/>
        <color rgb="FF000000"/>
        <rFont val="Arial"/>
        <family val="0"/>
        <charset val="1"/>
      </rPr>
      <t xml:space="preserve">5.6dB) → </t>
    </r>
    <r>
      <rPr>
        <sz val="10"/>
        <color rgb="FF000000"/>
        <rFont val="Noto Sans CJK SC"/>
        <family val="2"/>
      </rPr>
      <t xml:space="preserve">보통 말소리 기준 약 </t>
    </r>
    <r>
      <rPr>
        <sz val="10"/>
        <color rgb="FF000000"/>
        <rFont val="Arial"/>
        <family val="0"/>
        <charset val="1"/>
      </rPr>
      <t xml:space="preserve">9/13/18dB</t>
    </r>
    <r>
      <rPr>
        <sz val="10"/>
        <color rgb="FF000000"/>
        <rFont val="Noto Sans CJK SC"/>
        <family val="2"/>
      </rPr>
      <t xml:space="preserve">로 다시 맞춤</t>
    </r>
    <r>
      <rPr>
        <sz val="10"/>
        <color rgb="FF000000"/>
        <rFont val="Arial"/>
        <family val="0"/>
        <charset val="1"/>
      </rPr>
      <t xml:space="preserve">. -40dB </t>
    </r>
    <r>
      <rPr>
        <sz val="10"/>
        <color rgb="FF000000"/>
        <rFont val="Noto Sans CJK SC"/>
        <family val="2"/>
      </rPr>
      <t xml:space="preserve">아래 잡음에는 반응 안 함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음악이 영상보다 짧을 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작은 화면 소리 섞을 때도 확인</t>
    </r>
  </si>
  <si>
    <r>
      <rPr>
        <sz val="10"/>
        <color rgb="FF000000"/>
        <rFont val="Noto Sans CJK SC"/>
        <family val="2"/>
      </rPr>
      <t xml:space="preserve">완료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실측 </t>
    </r>
    <r>
      <rPr>
        <sz val="10"/>
        <color rgb="FF000000"/>
        <rFont val="Arial"/>
        <family val="0"/>
        <charset val="1"/>
      </rPr>
      <t xml:space="preserve">8.8/13.0/17.4dB</t>
    </r>
  </si>
  <si>
    <t xml:space="preserve">색감 필터</t>
  </si>
  <si>
    <r>
      <rPr>
        <sz val="10"/>
        <color rgb="FF000000"/>
        <rFont val="Noto Sans CJK SC"/>
        <family val="2"/>
      </rPr>
      <t xml:space="preserve">내보내기 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색감</t>
    </r>
    <r>
      <rPr>
        <sz val="10"/>
        <color rgb="FF000000"/>
        <rFont val="Arial"/>
        <family val="0"/>
        <charset val="1"/>
      </rPr>
      <t xml:space="preserve">": </t>
    </r>
    <r>
      <rPr>
        <sz val="10"/>
        <color rgb="FF000000"/>
        <rFont val="Noto Sans CJK SC"/>
        <family val="2"/>
      </rPr>
      <t xml:space="preserve">그대로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따뜻하게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차갑게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선명하게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빈티지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흑백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자막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제목보다 먼저 적용해서 글자 색은 그대로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처음 </t>
    </r>
    <r>
      <rPr>
        <sz val="10"/>
        <color rgb="FF000000"/>
        <rFont val="Arial"/>
        <family val="0"/>
        <charset val="1"/>
      </rPr>
      <t xml:space="preserve">colorbalance </t>
    </r>
    <r>
      <rPr>
        <sz val="10"/>
        <color rgb="FF000000"/>
        <rFont val="Noto Sans CJK SC"/>
        <family val="2"/>
      </rPr>
      <t xml:space="preserve">값은 눈에 거의 안 띄어서 따뜻하게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차갑게는 </t>
    </r>
    <r>
      <rPr>
        <sz val="10"/>
        <color rgb="FF000000"/>
        <rFont val="Arial"/>
        <family val="0"/>
        <charset val="1"/>
      </rPr>
      <t xml:space="preserve">colortemperature(4500K/9000K)</t>
    </r>
    <r>
      <rPr>
        <sz val="10"/>
        <color rgb="FF000000"/>
        <rFont val="Noto Sans CJK SC"/>
        <family val="2"/>
      </rPr>
      <t xml:space="preserve">로 바꿈</t>
    </r>
  </si>
  <si>
    <r>
      <rPr>
        <sz val="10"/>
        <color rgb="FF000000"/>
        <rFont val="Noto Sans CJK SC"/>
        <family val="2"/>
      </rPr>
      <t xml:space="preserve">완료 </t>
    </r>
    <r>
      <rPr>
        <sz val="10"/>
        <color rgb="FF000000"/>
        <rFont val="Arial"/>
        <family val="0"/>
        <charset val="1"/>
      </rPr>
      <t xml:space="preserve">· 6</t>
    </r>
    <r>
      <rPr>
        <sz val="10"/>
        <color rgb="FF000000"/>
        <rFont val="Noto Sans CJK SC"/>
        <family val="2"/>
      </rPr>
      <t xml:space="preserve">가지 비교 이미지 확인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모든 색감 실제 렌더링 테스트</t>
    </r>
  </si>
  <si>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차 로드맵</t>
    </r>
  </si>
  <si>
    <r>
      <rPr>
        <sz val="10"/>
        <color rgb="FF000000"/>
        <rFont val="Arial"/>
        <family val="0"/>
        <charset val="1"/>
      </rPr>
      <t xml:space="preserve">20~25 </t>
    </r>
    <r>
      <rPr>
        <sz val="10"/>
        <color rgb="FF000000"/>
        <rFont val="Noto Sans CJK SC"/>
        <family val="2"/>
      </rPr>
      <t xml:space="preserve">완료 → </t>
    </r>
    <r>
      <rPr>
        <sz val="10"/>
        <color rgb="FF000000"/>
        <rFont val="Arial"/>
        <family val="0"/>
        <charset val="1"/>
      </rPr>
      <t xml:space="preserve">26 </t>
    </r>
    <r>
      <rPr>
        <sz val="10"/>
        <color rgb="FF000000"/>
        <rFont val="Noto Sans CJK SC"/>
        <family val="2"/>
      </rPr>
      <t xml:space="preserve">그래픽카드 인코딩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속도</t>
    </r>
    <r>
      <rPr>
        <sz val="10"/>
        <color rgb="FF000000"/>
        <rFont val="Arial"/>
        <family val="0"/>
        <charset val="1"/>
      </rPr>
      <t xml:space="preserve">), 27 </t>
    </r>
    <r>
      <rPr>
        <sz val="10"/>
        <color rgb="FF000000"/>
        <rFont val="Noto Sans CJK SC"/>
        <family val="2"/>
      </rPr>
      <t xml:space="preserve">릴스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유튜브 동시 내보내기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반복 줄이기</t>
    </r>
    <r>
      <rPr>
        <sz val="10"/>
        <color rgb="FF000000"/>
        <rFont val="Arial"/>
        <family val="0"/>
        <charset val="1"/>
      </rPr>
      <t xml:space="preserve">), 28 </t>
    </r>
    <r>
      <rPr>
        <sz val="10"/>
        <color rgb="FF000000"/>
        <rFont val="Noto Sans CJK SC"/>
        <family val="2"/>
      </rPr>
      <t xml:space="preserve">썸네일 저장</t>
    </r>
    <r>
      <rPr>
        <sz val="10"/>
        <color rgb="FF000000"/>
        <rFont val="Arial"/>
        <family val="0"/>
        <charset val="1"/>
      </rPr>
      <t xml:space="preserve">, 29 </t>
    </r>
    <r>
      <rPr>
        <sz val="10"/>
        <color rgb="FF000000"/>
        <rFont val="Noto Sans CJK SC"/>
        <family val="2"/>
      </rPr>
      <t xml:space="preserve">자막 등장 효과</t>
    </r>
  </si>
  <si>
    <t xml:space="preserve">그래픽카드 인코딩</t>
  </si>
  <si>
    <r>
      <rPr>
        <sz val="10"/>
        <color rgb="FF000000"/>
        <rFont val="Noto Sans CJK SC"/>
        <family val="2"/>
      </rPr>
      <t xml:space="preserve">내보내기 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그래픽카드로 빠르게</t>
    </r>
    <r>
      <rPr>
        <sz val="10"/>
        <color rgb="FF000000"/>
        <rFont val="Arial"/>
        <family val="0"/>
        <charset val="1"/>
      </rPr>
      <t xml:space="preserve">"(</t>
    </r>
    <r>
      <rPr>
        <sz val="10"/>
        <color rgb="FF000000"/>
        <rFont val="Noto Sans CJK SC"/>
        <family val="2"/>
      </rPr>
      <t xml:space="preserve">기본 켬</t>
    </r>
    <r>
      <rPr>
        <sz val="10"/>
        <color rgb="FF000000"/>
        <rFont val="Arial"/>
        <family val="0"/>
        <charset val="1"/>
      </rPr>
      <t xml:space="preserve">): NVIDIA→Intel→AMD </t>
    </r>
    <r>
      <rPr>
        <sz val="10"/>
        <color rgb="FF000000"/>
        <rFont val="Noto Sans CJK SC"/>
        <family val="2"/>
      </rPr>
      <t xml:space="preserve">순으로 작은 영상을 실제 인코딩해 보고 되는 것 사용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한 번만 확인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최종 영상만 그래픽카드로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조각은 캐시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정확한 프레임 수 때문에 </t>
    </r>
    <r>
      <rPr>
        <sz val="10"/>
        <color rgb="FF000000"/>
        <rFont val="Arial"/>
        <family val="0"/>
        <charset val="1"/>
      </rPr>
      <t xml:space="preserve">CPU </t>
    </r>
    <r>
      <rPr>
        <sz val="10"/>
        <color rgb="FF000000"/>
        <rFont val="Noto Sans CJK SC"/>
        <family val="2"/>
      </rPr>
      <t xml:space="preserve">유지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실패하면 오류 기록 남기고 </t>
    </r>
    <r>
      <rPr>
        <sz val="10"/>
        <color rgb="FF000000"/>
        <rFont val="Arial"/>
        <family val="0"/>
        <charset val="1"/>
      </rPr>
      <t xml:space="preserve">CPU</t>
    </r>
    <r>
      <rPr>
        <sz val="10"/>
        <color rgb="FF000000"/>
        <rFont val="Noto Sans CJK SC"/>
        <family val="2"/>
      </rPr>
      <t xml:space="preserve">로 자동 재시도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이번 실행 동안 그 인코더는 다시 안 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완료 메시지에 사용한 그래픽카드 표시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이 개발 환경엔 그래픽카드가 없어 실패→</t>
    </r>
    <r>
      <rPr>
        <sz val="10"/>
        <color rgb="FF000000"/>
        <rFont val="Arial"/>
        <family val="0"/>
        <charset val="1"/>
      </rPr>
      <t xml:space="preserve">CPU </t>
    </r>
    <r>
      <rPr>
        <sz val="10"/>
        <color rgb="FF000000"/>
        <rFont val="Noto Sans CJK SC"/>
        <family val="2"/>
      </rPr>
      <t xml:space="preserve">재시도 흐름으로 확인</t>
    </r>
  </si>
  <si>
    <r>
      <rPr>
        <sz val="10"/>
        <color rgb="FF000000"/>
        <rFont val="Noto Sans CJK SC"/>
        <family val="2"/>
      </rPr>
      <t xml:space="preserve">완료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실제 그래픽카드 확인은 사용자 </t>
    </r>
    <r>
      <rPr>
        <sz val="10"/>
        <color rgb="FF000000"/>
        <rFont val="Arial"/>
        <family val="0"/>
        <charset val="1"/>
      </rPr>
      <t xml:space="preserve">PC </t>
    </r>
    <r>
      <rPr>
        <sz val="10"/>
        <color rgb="FF000000"/>
        <rFont val="Noto Sans CJK SC"/>
        <family val="2"/>
      </rPr>
      <t xml:space="preserve">필요</t>
    </r>
  </si>
  <si>
    <r>
      <rPr>
        <sz val="10"/>
        <color rgb="FF000000"/>
        <rFont val="Noto Sans CJK SC"/>
        <family val="2"/>
      </rPr>
      <t xml:space="preserve">클립 선택 전 속도 칸이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배로 보임</t>
    </r>
  </si>
  <si>
    <r>
      <rPr>
        <sz val="10"/>
        <color rgb="FF000000"/>
        <rFont val="Noto Sans CJK SC"/>
        <family val="2"/>
      </rPr>
      <t xml:space="preserve">클립을 고르기 전 비활성 속도 칸이 첫 항목</t>
    </r>
    <r>
      <rPr>
        <sz val="10"/>
        <color rgb="FF000000"/>
        <rFont val="Arial"/>
        <family val="0"/>
        <charset val="1"/>
      </rPr>
      <t xml:space="preserve">(0.25</t>
    </r>
    <r>
      <rPr>
        <sz val="10"/>
        <color rgb="FF000000"/>
        <rFont val="Noto Sans CJK SC"/>
        <family val="2"/>
      </rPr>
      <t xml:space="preserve">배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으로 보여 헷갈림 → 기본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배로</t>
    </r>
  </si>
  <si>
    <t xml:space="preserve">여러 비율로 한 번에 내보내기</t>
  </si>
  <si>
    <r>
      <rPr>
        <sz val="10"/>
        <color rgb="FF000000"/>
        <rFont val="Noto Sans CJK SC"/>
        <family val="2"/>
      </rPr>
      <t xml:space="preserve">📐 버튼</t>
    </r>
    <r>
      <rPr>
        <sz val="10"/>
        <color rgb="FF000000"/>
        <rFont val="Arial"/>
        <family val="0"/>
        <charset val="1"/>
      </rPr>
      <t xml:space="preserve">·Ctrl+Shift+E: </t>
    </r>
    <r>
      <rPr>
        <sz val="10"/>
        <color rgb="FF000000"/>
        <rFont val="Noto Sans CJK SC"/>
        <family val="2"/>
      </rPr>
      <t xml:space="preserve">유튜브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릴스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정사각형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인스타 피드 중 고르고 해상도 선택 → 이름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유튜브</t>
    </r>
    <r>
      <rPr>
        <sz val="10"/>
        <color rgb="FF000000"/>
        <rFont val="Arial"/>
        <family val="0"/>
        <charset val="1"/>
      </rPr>
      <t xml:space="preserve">.mp4, </t>
    </r>
    <r>
      <rPr>
        <sz val="10"/>
        <color rgb="FF000000"/>
        <rFont val="Noto Sans CJK SC"/>
        <family val="2"/>
      </rPr>
      <t xml:space="preserve">이름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릴스</t>
    </r>
    <r>
      <rPr>
        <sz val="10"/>
        <color rgb="FF000000"/>
        <rFont val="Arial"/>
        <family val="0"/>
        <charset val="1"/>
      </rPr>
      <t xml:space="preserve">.mp4 … </t>
    </r>
    <r>
      <rPr>
        <sz val="10"/>
        <color rgb="FF000000"/>
        <rFont val="Noto Sans CJK SC"/>
        <family val="2"/>
      </rPr>
      <t xml:space="preserve">차례로 만듦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진행 표시에 </t>
    </r>
    <r>
      <rPr>
        <sz val="10"/>
        <color rgb="FF000000"/>
        <rFont val="Arial"/>
        <family val="0"/>
        <charset val="1"/>
      </rPr>
      <t xml:space="preserve">[2/3] </t>
    </r>
    <r>
      <rPr>
        <sz val="10"/>
        <color rgb="FF000000"/>
        <rFont val="Noto Sans CJK SC"/>
        <family val="2"/>
      </rPr>
      <t xml:space="preserve">파일 이름 표시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취소하면 남은 것도 멈춤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미리보기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내보내기 실행 코드를 하나로 정리</t>
    </r>
  </si>
  <si>
    <r>
      <rPr>
        <sz val="10"/>
        <color rgb="FF000000"/>
        <rFont val="Noto Sans CJK SC"/>
        <family val="2"/>
      </rPr>
      <t xml:space="preserve">완료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화면 테스트</t>
    </r>
    <r>
      <rPr>
        <sz val="10"/>
        <color rgb="FF000000"/>
        <rFont val="Arial"/>
        <family val="0"/>
        <charset val="1"/>
      </rPr>
      <t xml:space="preserve">: 3</t>
    </r>
    <r>
      <rPr>
        <sz val="10"/>
        <color rgb="FF000000"/>
        <rFont val="Noto Sans CJK SC"/>
        <family val="2"/>
      </rPr>
      <t xml:space="preserve">개 비율 </t>
    </r>
    <r>
      <rPr>
        <sz val="10"/>
        <color rgb="FF000000"/>
        <rFont val="Arial"/>
        <family val="0"/>
        <charset val="1"/>
      </rPr>
      <t xml:space="preserve">720p 6.0</t>
    </r>
    <r>
      <rPr>
        <sz val="10"/>
        <color rgb="FF000000"/>
        <rFont val="Noto Sans CJK SC"/>
        <family val="2"/>
      </rPr>
      <t xml:space="preserve">초씩 정확</t>
    </r>
  </si>
  <si>
    <r>
      <rPr>
        <sz val="10"/>
        <color rgb="FF000000"/>
        <rFont val="Noto Sans CJK SC"/>
        <family val="2"/>
      </rPr>
      <t xml:space="preserve">장면을 이미지로 저장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썸네일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</si>
  <si>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미리보기 옆 🖼 버튼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완성 미리보기를 보고 있으면 그 시간이 원본 어느 파일의 몇 초인지 계산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속도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사진 반영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클립 원본을 보고 있으면 그 파일에서 바로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저화질 미리보기가 아니라 원본에서 내보내기 크기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화면 맞추기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색감 그대로 </t>
    </r>
    <r>
      <rPr>
        <sz val="10"/>
        <color rgb="FF000000"/>
        <rFont val="Arial"/>
        <family val="0"/>
        <charset val="1"/>
      </rPr>
      <t xml:space="preserve">JPG/PNG </t>
    </r>
    <r>
      <rPr>
        <sz val="10"/>
        <color rgb="FF000000"/>
        <rFont val="Noto Sans CJK SC"/>
        <family val="2"/>
      </rPr>
      <t xml:space="preserve">저장</t>
    </r>
  </si>
  <si>
    <r>
      <rPr>
        <sz val="10"/>
        <color rgb="FF000000"/>
        <rFont val="Noto Sans CJK SC"/>
        <family val="2"/>
      </rPr>
      <t xml:space="preserve">완료 </t>
    </r>
    <r>
      <rPr>
        <sz val="10"/>
        <color rgb="FF000000"/>
        <rFont val="Arial"/>
        <family val="0"/>
        <charset val="1"/>
      </rPr>
      <t xml:space="preserve">· 1080×1920 </t>
    </r>
    <r>
      <rPr>
        <sz val="10"/>
        <color rgb="FF000000"/>
        <rFont val="Noto Sans CJK SC"/>
        <family val="2"/>
      </rPr>
      <t xml:space="preserve">저장 확인</t>
    </r>
  </si>
  <si>
    <t xml:space="preserve">자막 등장 효과</t>
  </si>
  <si>
    <r>
      <rPr>
        <sz val="10"/>
        <color rgb="FF000000"/>
        <rFont val="Noto Sans CJK SC"/>
        <family val="2"/>
      </rPr>
      <t xml:space="preserve">자막 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등장 효과</t>
    </r>
    <r>
      <rPr>
        <sz val="10"/>
        <color rgb="FF000000"/>
        <rFont val="Arial"/>
        <family val="0"/>
        <charset val="1"/>
      </rPr>
      <t xml:space="preserve">": </t>
    </r>
    <r>
      <rPr>
        <sz val="10"/>
        <color rgb="FF000000"/>
        <rFont val="Noto Sans CJK SC"/>
        <family val="2"/>
      </rPr>
      <t xml:space="preserve">없음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스르륵 나타나기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톡 튀어나오기</t>
    </r>
    <r>
      <rPr>
        <sz val="10"/>
        <color rgb="FF000000"/>
        <rFont val="Arial"/>
        <family val="0"/>
        <charset val="1"/>
      </rPr>
      <t xml:space="preserve">(70%→112%→100%, 0.18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). ffmpeg</t>
    </r>
    <r>
      <rPr>
        <sz val="10"/>
        <color rgb="FF000000"/>
        <rFont val="Noto Sans CJK SC"/>
        <family val="2"/>
      </rPr>
      <t xml:space="preserve">가 </t>
    </r>
    <r>
      <rPr>
        <sz val="10"/>
        <color rgb="FF000000"/>
        <rFont val="Arial"/>
        <family val="0"/>
        <charset val="1"/>
      </rPr>
      <t xml:space="preserve">SRT</t>
    </r>
    <r>
      <rPr>
        <sz val="10"/>
        <color rgb="FF000000"/>
        <rFont val="Noto Sans CJK SC"/>
        <family val="2"/>
      </rPr>
      <t xml:space="preserve">를 읽을 때 효과 태그를 지워 버려서</t>
    </r>
    <r>
      <rPr>
        <sz val="10"/>
        <color rgb="FF000000"/>
        <rFont val="Arial"/>
        <family val="0"/>
        <charset val="1"/>
      </rPr>
      <t xml:space="preserve">, SRT</t>
    </r>
    <r>
      <rPr>
        <sz val="10"/>
        <color rgb="FF000000"/>
        <rFont val="Noto Sans CJK SC"/>
        <family val="2"/>
      </rPr>
      <t xml:space="preserve">를 읽을 때와 똑같은 머리말</t>
    </r>
    <r>
      <rPr>
        <sz val="10"/>
        <color rgb="FF000000"/>
        <rFont val="Arial"/>
        <family val="0"/>
        <charset val="1"/>
      </rPr>
      <t xml:space="preserve">(384×288)</t>
    </r>
    <r>
      <rPr>
        <sz val="10"/>
        <color rgb="FF000000"/>
        <rFont val="Noto Sans CJK SC"/>
        <family val="2"/>
      </rPr>
      <t xml:space="preserve">의 </t>
    </r>
    <r>
      <rPr>
        <sz val="10"/>
        <color rgb="FF000000"/>
        <rFont val="Arial"/>
        <family val="0"/>
        <charset val="1"/>
      </rPr>
      <t xml:space="preserve">ASS </t>
    </r>
    <r>
      <rPr>
        <sz val="10"/>
        <color rgb="FF000000"/>
        <rFont val="Noto Sans CJK SC"/>
        <family val="2"/>
      </rPr>
      <t xml:space="preserve">파일로 만들어 입힘 → 효과가 끝난 뒤 화면은 효과 없을 때와 같음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아래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가운데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위 모두 비교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자막 트랙 방식에선 꺼짐</t>
    </r>
  </si>
  <si>
    <r>
      <rPr>
        <sz val="10"/>
        <color rgb="FF000000"/>
        <rFont val="Noto Sans CJK SC"/>
        <family val="2"/>
      </rPr>
      <t xml:space="preserve">완료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프레임별 확인</t>
    </r>
  </si>
  <si>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차 로드맵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일본 여행 릴스용으로 재정렬</t>
    </r>
  </si>
  <si>
    <r>
      <rPr>
        <sz val="10"/>
        <color rgb="FF000000"/>
        <rFont val="Noto Sans CJK SC"/>
        <family val="2"/>
      </rPr>
      <t xml:space="preserve">사용 목적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일본 여행 영상 모음 → 릴스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다른 여행에도 재사용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에 맞춰 우선순위 재설정</t>
    </r>
    <r>
      <rPr>
        <sz val="10"/>
        <color rgb="FF000000"/>
        <rFont val="Arial"/>
        <family val="0"/>
        <charset val="1"/>
      </rPr>
      <t xml:space="preserve">: 30 </t>
    </r>
    <r>
      <rPr>
        <sz val="10"/>
        <color rgb="FF000000"/>
        <rFont val="Noto Sans CJK SC"/>
        <family val="2"/>
      </rPr>
      <t xml:space="preserve">아이폰 </t>
    </r>
    <r>
      <rPr>
        <sz val="10"/>
        <color rgb="FF000000"/>
        <rFont val="Arial"/>
        <family val="0"/>
        <charset val="1"/>
      </rPr>
      <t xml:space="preserve">HDR </t>
    </r>
    <r>
      <rPr>
        <sz val="10"/>
        <color rgb="FF000000"/>
        <rFont val="Noto Sans CJK SC"/>
        <family val="2"/>
      </rPr>
      <t xml:space="preserve">색</t>
    </r>
    <r>
      <rPr>
        <sz val="10"/>
        <color rgb="FF000000"/>
        <rFont val="Arial"/>
        <family val="0"/>
        <charset val="1"/>
      </rPr>
      <t xml:space="preserve">, 31 HEIC </t>
    </r>
    <r>
      <rPr>
        <sz val="10"/>
        <color rgb="FF000000"/>
        <rFont val="Noto Sans CJK SC"/>
        <family val="2"/>
      </rPr>
      <t xml:space="preserve">사진</t>
    </r>
    <r>
      <rPr>
        <sz val="10"/>
        <color rgb="FF000000"/>
        <rFont val="Arial"/>
        <family val="0"/>
        <charset val="1"/>
      </rPr>
      <t xml:space="preserve">, 32 </t>
    </r>
    <r>
      <rPr>
        <sz val="10"/>
        <color rgb="FF000000"/>
        <rFont val="Noto Sans CJK SC"/>
        <family val="2"/>
      </rPr>
      <t xml:space="preserve">폴더 추가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날짜순</t>
    </r>
    <r>
      <rPr>
        <sz val="10"/>
        <color rgb="FF000000"/>
        <rFont val="Arial"/>
        <family val="0"/>
        <charset val="1"/>
      </rPr>
      <t xml:space="preserve">, 33 </t>
    </r>
    <r>
      <rPr>
        <sz val="10"/>
        <color rgb="FF000000"/>
        <rFont val="Noto Sans CJK SC"/>
        <family val="2"/>
      </rPr>
      <t xml:space="preserve">릴스 안전 영역</t>
    </r>
    <r>
      <rPr>
        <sz val="10"/>
        <color rgb="FF000000"/>
        <rFont val="Arial"/>
        <family val="0"/>
        <charset val="1"/>
      </rPr>
      <t xml:space="preserve">, 34 </t>
    </r>
    <r>
      <rPr>
        <sz val="10"/>
        <color rgb="FF000000"/>
        <rFont val="Noto Sans CJK SC"/>
        <family val="2"/>
      </rPr>
      <t xml:space="preserve">설정 템플릿</t>
    </r>
    <r>
      <rPr>
        <sz val="10"/>
        <color rgb="FF000000"/>
        <rFont val="Arial"/>
        <family val="0"/>
        <charset val="1"/>
      </rPr>
      <t xml:space="preserve">, 35 </t>
    </r>
    <r>
      <rPr>
        <sz val="10"/>
        <color rgb="FF000000"/>
        <rFont val="Noto Sans CJK SC"/>
        <family val="2"/>
      </rPr>
      <t xml:space="preserve">음악 없이 내보내기</t>
    </r>
  </si>
  <si>
    <r>
      <rPr>
        <sz val="10"/>
        <color rgb="FF000000"/>
        <rFont val="Noto Sans CJK SC"/>
        <family val="2"/>
      </rPr>
      <t xml:space="preserve">아이폰 </t>
    </r>
    <r>
      <rPr>
        <sz val="10"/>
        <color rgb="FF000000"/>
        <rFont val="Arial"/>
        <family val="0"/>
        <charset val="1"/>
      </rPr>
      <t xml:space="preserve">HDR </t>
    </r>
    <r>
      <rPr>
        <sz val="10"/>
        <color rgb="FF000000"/>
        <rFont val="Noto Sans CJK SC"/>
        <family val="2"/>
      </rPr>
      <t xml:space="preserve">영상이 회색으로 바램</t>
    </r>
  </si>
  <si>
    <r>
      <rPr>
        <sz val="10"/>
        <color rgb="FF000000"/>
        <rFont val="Noto Sans CJK SC"/>
        <family val="2"/>
      </rPr>
      <t xml:space="preserve">아이폰 기본 </t>
    </r>
    <r>
      <rPr>
        <sz val="10"/>
        <color rgb="FF000000"/>
        <rFont val="Arial"/>
        <family val="0"/>
        <charset val="1"/>
      </rPr>
      <t xml:space="preserve">HDR(HLG, BT.2020 10</t>
    </r>
    <r>
      <rPr>
        <sz val="10"/>
        <color rgb="FF000000"/>
        <rFont val="Noto Sans CJK SC"/>
        <family val="2"/>
      </rPr>
      <t xml:space="preserve">비트 </t>
    </r>
    <r>
      <rPr>
        <sz val="10"/>
        <color rgb="FF000000"/>
        <rFont val="Arial"/>
        <family val="0"/>
        <charset val="1"/>
      </rPr>
      <t xml:space="preserve">HEVC) </t>
    </r>
    <r>
      <rPr>
        <sz val="10"/>
        <color rgb="FF000000"/>
        <rFont val="Noto Sans CJK SC"/>
        <family val="2"/>
      </rPr>
      <t xml:space="preserve">영상을 넣으면 색이 크게 바램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채도 </t>
    </r>
    <r>
      <rPr>
        <sz val="10"/>
        <color rgb="FF000000"/>
        <rFont val="Arial"/>
        <family val="0"/>
        <charset val="1"/>
      </rPr>
      <t xml:space="preserve">247→94). </t>
    </r>
    <r>
      <rPr>
        <sz val="10"/>
        <color rgb="FF000000"/>
        <rFont val="Noto Sans CJK SC"/>
        <family val="2"/>
      </rPr>
      <t xml:space="preserve">영상마다 전달 특성을 확인해서 </t>
    </r>
    <r>
      <rPr>
        <sz val="10"/>
        <color rgb="FF000000"/>
        <rFont val="Arial"/>
        <family val="0"/>
        <charset val="1"/>
      </rPr>
      <t xml:space="preserve">HDR</t>
    </r>
    <r>
      <rPr>
        <sz val="10"/>
        <color rgb="FF000000"/>
        <rFont val="Noto Sans CJK SC"/>
        <family val="2"/>
      </rPr>
      <t xml:space="preserve">이면 </t>
    </r>
    <r>
      <rPr>
        <sz val="10"/>
        <color rgb="FF000000"/>
        <rFont val="Arial"/>
        <family val="0"/>
        <charset val="1"/>
      </rPr>
      <t xml:space="preserve">zscale+tonemap(mobius)</t>
    </r>
    <r>
      <rPr>
        <sz val="10"/>
        <color rgb="FF000000"/>
        <rFont val="Noto Sans CJK SC"/>
        <family val="2"/>
      </rPr>
      <t xml:space="preserve">으로 일반 색으로 변환 — 클립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작은 화면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장면 이미지 저장 모두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채도 </t>
    </r>
    <r>
      <rPr>
        <sz val="10"/>
        <color rgb="FF000000"/>
        <rFont val="Arial"/>
        <family val="0"/>
        <charset val="1"/>
      </rPr>
      <t xml:space="preserve">211</t>
    </r>
    <r>
      <rPr>
        <sz val="10"/>
        <color rgb="FF000000"/>
        <rFont val="Noto Sans CJK SC"/>
        <family val="2"/>
      </rPr>
      <t xml:space="preserve">로 회복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속도 부담 약 </t>
    </r>
    <r>
      <rPr>
        <sz val="10"/>
        <color rgb="FF000000"/>
        <rFont val="Arial"/>
        <family val="0"/>
        <charset val="1"/>
      </rPr>
      <t xml:space="preserve">12%</t>
    </r>
  </si>
  <si>
    <r>
      <rPr>
        <sz val="10"/>
        <color rgb="FF000000"/>
        <rFont val="Noto Sans CJK SC"/>
        <family val="2"/>
      </rPr>
      <t xml:space="preserve">수정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비교 이미지 확인</t>
    </r>
  </si>
  <si>
    <t xml:space="preserve">소리가 하나도 없는 영상 내보내기 실패</t>
  </si>
  <si>
    <r>
      <rPr>
        <sz val="10"/>
        <color rgb="FF000000"/>
        <rFont val="Noto Sans CJK SC"/>
        <family val="2"/>
      </rPr>
      <t xml:space="preserve">무음 영상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사진만 있고 음악이 없으면 음량 자동 맞춤</t>
    </r>
    <r>
      <rPr>
        <sz val="10"/>
        <color rgb="FF000000"/>
        <rFont val="Arial"/>
        <family val="0"/>
        <charset val="1"/>
      </rPr>
      <t xml:space="preserve">(loudnorm)</t>
    </r>
    <r>
      <rPr>
        <sz val="10"/>
        <color rgb="FF000000"/>
        <rFont val="Noto Sans CJK SC"/>
        <family val="2"/>
      </rPr>
      <t xml:space="preserve">이 완전한 무음에서 </t>
    </r>
    <r>
      <rPr>
        <sz val="10"/>
        <color rgb="FF000000"/>
        <rFont val="Arial"/>
        <family val="0"/>
        <charset val="1"/>
      </rPr>
      <t xml:space="preserve">NaN</t>
    </r>
    <r>
      <rPr>
        <sz val="10"/>
        <color rgb="FF000000"/>
        <rFont val="Noto Sans CJK SC"/>
        <family val="2"/>
      </rPr>
      <t xml:space="preserve">을 내서 내보내기가 실패 → 소리가 없을 땐 음량 맞춤을 건너뜀</t>
    </r>
    <r>
      <rPr>
        <sz val="10"/>
        <color rgb="FF000000"/>
        <rFont val="Arial"/>
        <family val="0"/>
        <charset val="1"/>
      </rPr>
      <t xml:space="preserve">. HDR </t>
    </r>
    <r>
      <rPr>
        <sz val="10"/>
        <color rgb="FF000000"/>
        <rFont val="Noto Sans CJK SC"/>
        <family val="2"/>
      </rPr>
      <t xml:space="preserve">테스트 중 발견</t>
    </r>
  </si>
  <si>
    <r>
      <rPr>
        <sz val="10"/>
        <color rgb="FF000000"/>
        <rFont val="Noto Sans CJK SC"/>
        <family val="2"/>
      </rPr>
      <t xml:space="preserve">아이폰 </t>
    </r>
    <r>
      <rPr>
        <sz val="10"/>
        <color rgb="FF000000"/>
        <rFont val="Arial"/>
        <family val="0"/>
        <charset val="1"/>
      </rPr>
      <t xml:space="preserve">HEIC </t>
    </r>
    <r>
      <rPr>
        <sz val="10"/>
        <color rgb="FF000000"/>
        <rFont val="Noto Sans CJK SC"/>
        <family val="2"/>
      </rPr>
      <t xml:space="preserve">사진 지원</t>
    </r>
  </si>
  <si>
    <r>
      <rPr>
        <sz val="10"/>
        <color rgb="FF000000"/>
        <rFont val="Arial"/>
        <family val="0"/>
        <charset val="1"/>
      </rPr>
      <t xml:space="preserve">HEIC/HEIF </t>
    </r>
    <r>
      <rPr>
        <sz val="10"/>
        <color rgb="FF000000"/>
        <rFont val="Noto Sans CJK SC"/>
        <family val="2"/>
      </rPr>
      <t xml:space="preserve">사진을 추가하면 </t>
    </r>
    <r>
      <rPr>
        <sz val="10"/>
        <color rgb="FF000000"/>
        <rFont val="Arial"/>
        <family val="0"/>
        <charset val="1"/>
      </rPr>
      <t xml:space="preserve">pillow-heif</t>
    </r>
    <r>
      <rPr>
        <sz val="10"/>
        <color rgb="FF000000"/>
        <rFont val="Noto Sans CJK SC"/>
        <family val="2"/>
      </rPr>
      <t xml:space="preserve">로 한 번 </t>
    </r>
    <r>
      <rPr>
        <sz val="10"/>
        <color rgb="FF000000"/>
        <rFont val="Arial"/>
        <family val="0"/>
        <charset val="1"/>
      </rPr>
      <t xml:space="preserve">JPG</t>
    </r>
    <r>
      <rPr>
        <sz val="10"/>
        <color rgb="FF000000"/>
        <rFont val="Noto Sans CJK SC"/>
        <family val="2"/>
      </rPr>
      <t xml:space="preserve">로 바꿔 두고</t>
    </r>
    <r>
      <rPr>
        <sz val="10"/>
        <color rgb="FF000000"/>
        <rFont val="Arial"/>
        <family val="0"/>
        <charset val="1"/>
      </rPr>
      <t xml:space="preserve">(EXIF </t>
    </r>
    <r>
      <rPr>
        <sz val="10"/>
        <color rgb="FF000000"/>
        <rFont val="Noto Sans CJK SC"/>
        <family val="2"/>
      </rPr>
      <t xml:space="preserve">회전 반영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크기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수정 시각 기준 재사용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렌더링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썸네일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작은 화면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장면 저장에 사용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프로젝트에는 원본 경로 유지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함께 고침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목록 썸네일이 세로 사진</t>
    </r>
    <r>
      <rPr>
        <sz val="10"/>
        <color rgb="FF000000"/>
        <rFont val="Arial"/>
        <family val="0"/>
        <charset val="1"/>
      </rPr>
      <t xml:space="preserve">(EXIF </t>
    </r>
    <r>
      <rPr>
        <sz val="10"/>
        <color rgb="FF000000"/>
        <rFont val="Noto Sans CJK SC"/>
        <family val="2"/>
      </rPr>
      <t xml:space="preserve">회전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을 가로로 보여 주던 문제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설치본에 </t>
    </r>
    <r>
      <rPr>
        <sz val="10"/>
        <color rgb="FF000000"/>
        <rFont val="Arial"/>
        <family val="0"/>
        <charset val="1"/>
      </rPr>
      <t xml:space="preserve">pillow-heif </t>
    </r>
    <r>
      <rPr>
        <sz val="10"/>
        <color rgb="FF000000"/>
        <rFont val="Noto Sans CJK SC"/>
        <family val="2"/>
      </rPr>
      <t xml:space="preserve">포함</t>
    </r>
  </si>
  <si>
    <r>
      <rPr>
        <sz val="10"/>
        <color rgb="FF000000"/>
        <rFont val="Noto Sans CJK SC"/>
        <family val="2"/>
      </rPr>
      <t xml:space="preserve">완료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세로 </t>
    </r>
    <r>
      <rPr>
        <sz val="10"/>
        <color rgb="FF000000"/>
        <rFont val="Arial"/>
        <family val="0"/>
        <charset val="1"/>
      </rPr>
      <t xml:space="preserve">HEIC </t>
    </r>
    <r>
      <rPr>
        <sz val="10"/>
        <color rgb="FF000000"/>
        <rFont val="Noto Sans CJK SC"/>
        <family val="2"/>
      </rPr>
      <t xml:space="preserve">렌더링 방향 확인</t>
    </r>
  </si>
  <si>
    <r>
      <rPr>
        <sz val="10"/>
        <color rgb="FF000000"/>
        <rFont val="Noto Sans CJK SC"/>
        <family val="2"/>
      </rPr>
      <t xml:space="preserve">폴더 통째로 추가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찍은 날짜순</t>
    </r>
  </si>
  <si>
    <r>
      <rPr>
        <sz val="10"/>
        <color rgb="FF000000"/>
        <rFont val="Noto Sans CJK SC"/>
        <family val="2"/>
      </rPr>
      <t xml:space="preserve">📁 폴더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하위 폴더까지 영상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사진을 찾아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숨김 파일</t>
    </r>
    <r>
      <rPr>
        <sz val="10"/>
        <color rgb="FF000000"/>
        <rFont val="Arial"/>
        <family val="0"/>
        <charset val="1"/>
      </rPr>
      <t xml:space="preserve">·.AAE </t>
    </r>
    <r>
      <rPr>
        <sz val="10"/>
        <color rgb="FF000000"/>
        <rFont val="Noto Sans CJK SC"/>
        <family val="2"/>
      </rPr>
      <t xml:space="preserve">등 제외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찍은 시각순으로 추가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파일이 많으면 진행 창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그만 버튼</t>
    </r>
    <r>
      <rPr>
        <sz val="10"/>
        <color rgb="FF000000"/>
        <rFont val="Arial"/>
        <family val="0"/>
        <charset val="1"/>
      </rPr>
      <t xml:space="preserve">). 📅 </t>
    </r>
    <r>
      <rPr>
        <sz val="10"/>
        <color rgb="FF000000"/>
        <rFont val="Noto Sans CJK SC"/>
        <family val="2"/>
      </rPr>
      <t xml:space="preserve">날짜순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전체 다시 정렬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찍은 시각은 아이폰 </t>
    </r>
    <r>
      <rPr>
        <sz val="10"/>
        <color rgb="FF000000"/>
        <rFont val="Arial"/>
        <family val="0"/>
        <charset val="1"/>
      </rPr>
      <t xml:space="preserve">creationdate(</t>
    </r>
    <r>
      <rPr>
        <sz val="10"/>
        <color rgb="FF000000"/>
        <rFont val="Noto Sans CJK SC"/>
        <family val="2"/>
      </rPr>
      <t xml:space="preserve">현지 시간대 포함</t>
    </r>
    <r>
      <rPr>
        <sz val="10"/>
        <color rgb="FF000000"/>
        <rFont val="Arial"/>
        <family val="0"/>
        <charset val="1"/>
      </rPr>
      <t xml:space="preserve">) → creation_time → </t>
    </r>
    <r>
      <rPr>
        <sz val="10"/>
        <color rgb="FF000000"/>
        <rFont val="Noto Sans CJK SC"/>
        <family val="2"/>
      </rPr>
      <t xml:space="preserve">사진 </t>
    </r>
    <r>
      <rPr>
        <sz val="10"/>
        <color rgb="FF000000"/>
        <rFont val="Arial"/>
        <family val="0"/>
        <charset val="1"/>
      </rPr>
      <t xml:space="preserve">EXIF(</t>
    </r>
    <r>
      <rPr>
        <sz val="10"/>
        <color rgb="FF000000"/>
        <rFont val="Noto Sans CJK SC"/>
        <family val="2"/>
      </rPr>
      <t xml:space="preserve">시간대 있으면 반영</t>
    </r>
    <r>
      <rPr>
        <sz val="10"/>
        <color rgb="FF000000"/>
        <rFont val="Arial"/>
        <family val="0"/>
        <charset val="1"/>
      </rPr>
      <t xml:space="preserve">) → </t>
    </r>
    <r>
      <rPr>
        <sz val="10"/>
        <color rgb="FF000000"/>
        <rFont val="Noto Sans CJK SC"/>
        <family val="2"/>
      </rPr>
      <t xml:space="preserve">파일 수정 시각 순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목록에 날짜 표시</t>
    </r>
  </si>
  <si>
    <r>
      <rPr>
        <sz val="10"/>
        <color rgb="FF000000"/>
        <rFont val="Noto Sans CJK SC"/>
        <family val="2"/>
      </rPr>
      <t xml:space="preserve">완료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도쿄→사진→오사카→교토 순서 확인</t>
    </r>
  </si>
  <si>
    <r>
      <rPr>
        <sz val="10"/>
        <color rgb="FF000000"/>
        <rFont val="Noto Sans CJK SC"/>
        <family val="2"/>
      </rPr>
      <t xml:space="preserve">릴스 가림 영역 피하기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표시</t>
    </r>
  </si>
  <si>
    <r>
      <rPr>
        <sz val="10"/>
        <color rgb="FF000000"/>
        <rFont val="Noto Sans CJK SC"/>
        <family val="2"/>
      </rPr>
      <t xml:space="preserve">기본 자막 위치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아래 </t>
    </r>
    <r>
      <rPr>
        <sz val="10"/>
        <color rgb="FF000000"/>
        <rFont val="Arial"/>
        <family val="0"/>
        <charset val="1"/>
      </rPr>
      <t xml:space="preserve">8%)</t>
    </r>
    <r>
      <rPr>
        <sz val="10"/>
        <color rgb="FF000000"/>
        <rFont val="Noto Sans CJK SC"/>
        <family val="2"/>
      </rPr>
      <t xml:space="preserve">와 오른쪽 아래 작은 화면이 릴스 설명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버튼에 가려지는 문제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세로 영상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높이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너비 ≥ </t>
    </r>
    <r>
      <rPr>
        <sz val="10"/>
        <color rgb="FF000000"/>
        <rFont val="Arial"/>
        <family val="0"/>
        <charset val="1"/>
      </rPr>
      <t xml:space="preserve">1.6)</t>
    </r>
    <r>
      <rPr>
        <sz val="10"/>
        <color rgb="FF000000"/>
        <rFont val="Noto Sans CJK SC"/>
        <family val="2"/>
      </rPr>
      <t xml:space="preserve">이면 자막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제목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작은 화면 여백을 위 </t>
    </r>
    <r>
      <rPr>
        <sz val="10"/>
        <color rgb="FF000000"/>
        <rFont val="Arial"/>
        <family val="0"/>
        <charset val="1"/>
      </rPr>
      <t xml:space="preserve">12%/</t>
    </r>
    <r>
      <rPr>
        <sz val="10"/>
        <color rgb="FF000000"/>
        <rFont val="Noto Sans CJK SC"/>
        <family val="2"/>
      </rPr>
      <t xml:space="preserve">아래 </t>
    </r>
    <r>
      <rPr>
        <sz val="10"/>
        <color rgb="FF000000"/>
        <rFont val="Arial"/>
        <family val="0"/>
        <charset val="1"/>
      </rPr>
      <t xml:space="preserve">22%/</t>
    </r>
    <r>
      <rPr>
        <sz val="10"/>
        <color rgb="FF000000"/>
        <rFont val="Noto Sans CJK SC"/>
        <family val="2"/>
      </rPr>
      <t xml:space="preserve">오른쪽 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이상으로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이미 더 크면 그대로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미리보기 전용 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가림 영역 표시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로 붉게 확인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비교 이미지로 확인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남은 점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아래쪽 작은 화면과 아래 자막이 겹칠 수 있음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위치 설정으로 조정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</si>
  <si>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설정 템플릿 저장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적용</t>
    </r>
  </si>
  <si>
    <r>
      <rPr>
        <sz val="10"/>
        <color rgb="FF000000"/>
        <rFont val="Noto Sans CJK SC"/>
        <family val="2"/>
      </rPr>
      <t xml:space="preserve">파일 메뉴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지금 설정을 템플릿으로 저장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이름 입력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음악 포함 여부 선택</t>
    </r>
    <r>
      <rPr>
        <sz val="10"/>
        <color rgb="FF000000"/>
        <rFont val="Arial"/>
        <family val="0"/>
        <charset val="1"/>
      </rPr>
      <t xml:space="preserve">) / </t>
    </r>
    <r>
      <rPr>
        <sz val="10"/>
        <color rgb="FF000000"/>
        <rFont val="Noto Sans CJK SC"/>
        <family val="2"/>
      </rPr>
      <t xml:space="preserve">템플릿 적용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목록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템플릿 폴더 열기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클립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작은 화면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자막 내용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제목 내용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출력 경로는 빼고 저장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적용해도 지금 클립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자막 내용은 그대로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실행 취소로 되돌릴 수 있음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저장 위치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데이터 폴더</t>
    </r>
    <r>
      <rPr>
        <sz val="10"/>
        <color rgb="FF000000"/>
        <rFont val="Arial"/>
        <family val="0"/>
        <charset val="1"/>
      </rPr>
      <t xml:space="preserve">/templates</t>
    </r>
  </si>
  <si>
    <r>
      <rPr>
        <sz val="10"/>
        <color rgb="FF000000"/>
        <rFont val="Noto Sans CJK SC"/>
        <family val="2"/>
      </rPr>
      <t xml:space="preserve">완료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화면 테스트로 저장→적용→실행 취소 확인</t>
    </r>
  </si>
  <si>
    <t xml:space="preserve">음악 없이 내보내기</t>
  </si>
  <si>
    <r>
      <rPr>
        <sz val="10"/>
        <color rgb="FF000000"/>
        <rFont val="Noto Sans CJK SC"/>
        <family val="2"/>
      </rPr>
      <t xml:space="preserve">내보내기 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음악 넣기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를 끄면 비트에 맞춘 컷 계획은 그대로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음악 트랙만 빼고 만듦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완료 창에 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인스타 앱에서 이 노래를 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초부터</t>
    </r>
    <r>
      <rPr>
        <sz val="10"/>
        <color rgb="FF000000"/>
        <rFont val="Arial"/>
        <family val="0"/>
        <charset val="1"/>
      </rPr>
      <t xml:space="preserve">" </t>
    </r>
    <r>
      <rPr>
        <sz val="10"/>
        <color rgb="FF000000"/>
        <rFont val="Noto Sans CJK SC"/>
        <family val="2"/>
      </rPr>
      <t xml:space="preserve">안내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원본 소리도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이면 완전 무음 영상이 되는데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앞서 고친 무음 내보내기 덕분에 정상</t>
    </r>
    <r>
      <rPr>
        <sz val="10"/>
        <color rgb="FF000000"/>
        <rFont val="Arial"/>
        <family val="0"/>
        <charset val="1"/>
      </rPr>
      <t xml:space="preserve">(8.0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, -91dB) </t>
    </r>
    <r>
      <rPr>
        <sz val="10"/>
        <color rgb="FF000000"/>
        <rFont val="Noto Sans CJK SC"/>
        <family val="2"/>
      </rPr>
      <t xml:space="preserve">확인</t>
    </r>
  </si>
  <si>
    <r>
      <rPr>
        <sz val="10"/>
        <color rgb="FF000000"/>
        <rFont val="Noto Sans CJK SC"/>
        <family val="2"/>
      </rPr>
      <t xml:space="preserve">날짜 정보 없을 때 물어보기 </t>
    </r>
    <r>
      <rPr>
        <sz val="10"/>
        <color rgb="FF000000"/>
        <rFont val="Arial"/>
        <family val="0"/>
        <charset val="1"/>
      </rPr>
      <t xml:space="preserve">+ 2026 recap </t>
    </r>
    <r>
      <rPr>
        <sz val="10"/>
        <color rgb="FF000000"/>
        <rFont val="Noto Sans CJK SC"/>
        <family val="2"/>
      </rPr>
      <t xml:space="preserve">릴스 계획</t>
    </r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</si>
  <si>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날짜 시간 정보가 없을 때 언제 찍었는지 물어보면</t>
    </r>
    <r>
      <rPr>
        <sz val="10"/>
        <color rgb="FF000000"/>
        <rFont val="Arial"/>
        <family val="0"/>
        <charset val="1"/>
      </rPr>
      <t xml:space="preserve">?" + "2026 recap </t>
    </r>
    <r>
      <rPr>
        <sz val="10"/>
        <color rgb="FF000000"/>
        <rFont val="Noto Sans CJK SC"/>
        <family val="2"/>
      </rPr>
      <t xml:space="preserve">릴스도 만들 것</t>
    </r>
    <r>
      <rPr>
        <sz val="10"/>
        <color rgb="FF000000"/>
        <rFont val="Arial"/>
        <family val="0"/>
        <charset val="1"/>
      </rPr>
      <t xml:space="preserve">" → 7</t>
    </r>
    <r>
      <rPr>
        <sz val="10"/>
        <color rgb="FF000000"/>
        <rFont val="Noto Sans CJK SC"/>
        <family val="2"/>
      </rPr>
      <t xml:space="preserve">차 로드맵</t>
    </r>
    <r>
      <rPr>
        <sz val="10"/>
        <color rgb="FF000000"/>
        <rFont val="Arial"/>
        <family val="0"/>
        <charset val="1"/>
      </rPr>
      <t xml:space="preserve">: 36 </t>
    </r>
    <r>
      <rPr>
        <sz val="10"/>
        <color rgb="FF000000"/>
        <rFont val="Noto Sans CJK SC"/>
        <family val="2"/>
      </rPr>
      <t xml:space="preserve">찍은 날짜 묻기</t>
    </r>
    <r>
      <rPr>
        <sz val="10"/>
        <color rgb="FF000000"/>
        <rFont val="Arial"/>
        <family val="0"/>
        <charset val="1"/>
      </rPr>
      <t xml:space="preserve">, 37 </t>
    </r>
    <r>
      <rPr>
        <sz val="10"/>
        <color rgb="FF000000"/>
        <rFont val="Noto Sans CJK SC"/>
        <family val="2"/>
      </rPr>
      <t xml:space="preserve">날짜 도장</t>
    </r>
    <r>
      <rPr>
        <sz val="10"/>
        <color rgb="FF000000"/>
        <rFont val="Arial"/>
        <family val="0"/>
        <charset val="1"/>
      </rPr>
      <t xml:space="preserve">, 38 </t>
    </r>
    <r>
      <rPr>
        <sz val="10"/>
        <color rgb="FF000000"/>
        <rFont val="Noto Sans CJK SC"/>
        <family val="2"/>
      </rPr>
      <t xml:space="preserve">월별 제목 자동</t>
    </r>
    <r>
      <rPr>
        <sz val="10"/>
        <color rgb="FF000000"/>
        <rFont val="Arial"/>
        <family val="0"/>
        <charset val="1"/>
      </rPr>
      <t xml:space="preserve">, 39 </t>
    </r>
    <r>
      <rPr>
        <sz val="10"/>
        <color rgb="FF000000"/>
        <rFont val="Noto Sans CJK SC"/>
        <family val="2"/>
      </rPr>
      <t xml:space="preserve">날짜 범위로 골라 추가</t>
    </r>
  </si>
  <si>
    <t xml:space="preserve">반영</t>
  </si>
  <si>
    <t xml:space="preserve">찍은 날짜 묻기</t>
  </si>
  <si>
    <r>
      <rPr>
        <sz val="10"/>
        <color rgb="FF000000"/>
        <rFont val="Noto Sans CJK SC"/>
        <family val="2"/>
      </rPr>
      <t xml:space="preserve">클립을 추가할 때 촬영 시각 정보가 없어 파일 시각으로 추정한 클립만 모아 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찍은 날짜 정하기</t>
    </r>
    <r>
      <rPr>
        <sz val="10"/>
        <color rgb="FF000000"/>
        <rFont val="Arial"/>
        <family val="0"/>
        <charset val="1"/>
      </rPr>
      <t xml:space="preserve">" </t>
    </r>
    <r>
      <rPr>
        <sz val="10"/>
        <color rgb="FF000000"/>
        <rFont val="Noto Sans CJK SC"/>
        <family val="2"/>
      </rPr>
      <t xml:space="preserve">창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썸네일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파일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날짜시간</t>
    </r>
    <r>
      <rPr>
        <sz val="10"/>
        <color rgb="FF000000"/>
        <rFont val="Arial"/>
        <family val="0"/>
        <charset val="1"/>
      </rPr>
      <t xml:space="preserve">, "</t>
    </r>
    <r>
      <rPr>
        <sz val="10"/>
        <color rgb="FF000000"/>
        <rFont val="Noto Sans CJK SC"/>
        <family val="2"/>
      </rPr>
      <t xml:space="preserve">모두 이 날짜로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는 시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Noto Sans CJK SC"/>
        <family val="2"/>
      </rPr>
      <t xml:space="preserve">분은 두고 날짜만 바꿔 같은 날 순서 유지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건너뛰기 가능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클립 편집에 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찍은 시각</t>
    </r>
    <r>
      <rPr>
        <sz val="10"/>
        <color rgb="FF000000"/>
        <rFont val="Arial"/>
        <family val="0"/>
        <charset val="1"/>
      </rPr>
      <t xml:space="preserve">" </t>
    </r>
    <r>
      <rPr>
        <sz val="10"/>
        <color rgb="FF000000"/>
        <rFont val="Noto Sans CJK SC"/>
        <family val="2"/>
      </rPr>
      <t xml:space="preserve">칸 추가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추정 시각은 목록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편집 칸에 ⚠ 표시</t>
    </r>
  </si>
  <si>
    <r>
      <rPr>
        <sz val="10"/>
        <color rgb="FF000000"/>
        <rFont val="Noto Sans CJK SC"/>
        <family val="2"/>
      </rPr>
      <t xml:space="preserve">완료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화면 테스트</t>
    </r>
  </si>
  <si>
    <t xml:space="preserve">날짜 도장</t>
  </si>
  <si>
    <r>
      <rPr>
        <sz val="10"/>
        <color rgb="FF000000"/>
        <rFont val="Noto Sans CJK SC"/>
        <family val="2"/>
      </rPr>
      <t xml:space="preserve">제목 탭 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날짜 도장</t>
    </r>
    <r>
      <rPr>
        <sz val="10"/>
        <color rgb="FF000000"/>
        <rFont val="Arial"/>
        <family val="0"/>
        <charset val="1"/>
      </rPr>
      <t xml:space="preserve">": </t>
    </r>
    <r>
      <rPr>
        <sz val="10"/>
        <color rgb="FF000000"/>
        <rFont val="Noto Sans CJK SC"/>
        <family val="2"/>
      </rPr>
      <t xml:space="preserve">필름 카메라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주황 숫자</t>
    </r>
    <r>
      <rPr>
        <sz val="10"/>
        <color rgb="FF000000"/>
        <rFont val="Arial"/>
        <family val="0"/>
        <charset val="1"/>
      </rPr>
      <t xml:space="preserve">, '26 3 14) / </t>
    </r>
    <r>
      <rPr>
        <sz val="10"/>
        <color rgb="FF000000"/>
        <rFont val="Noto Sans CJK SC"/>
        <family val="2"/>
      </rPr>
      <t xml:space="preserve">깔끔한 흰 글자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형식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가지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네 구석 위치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렌더링과 같은 프레임 단위로 조각마다 그 클립의 찍은 날짜를 넣고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같은 날짜가 이어지면 하나로 합침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날짜 모르는 클립은 표시 안 함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릴스 가림 영역도 피함</t>
    </r>
  </si>
  <si>
    <r>
      <rPr>
        <sz val="10"/>
        <color rgb="FF000000"/>
        <rFont val="Noto Sans CJK SC"/>
        <family val="2"/>
      </rPr>
      <t xml:space="preserve">완료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화면 확인</t>
    </r>
  </si>
  <si>
    <t xml:space="preserve">테스트 수</t>
  </si>
  <si>
    <t xml:space="preserve">통과율</t>
  </si>
  <si>
    <t xml:space="preserve">메모</t>
  </si>
  <si>
    <t xml:space="preserve">비트 맞춤 수정 후</t>
  </si>
  <si>
    <t xml:space="preserve">병렬 렌더 취소 테스트 추가</t>
  </si>
  <si>
    <t xml:space="preserve">자동 저장 테스트 추가</t>
  </si>
  <si>
    <r>
      <rPr>
        <sz val="10"/>
        <color rgb="FF000000"/>
        <rFont val="Noto Sans CJK SC"/>
        <family val="2"/>
      </rPr>
      <t xml:space="preserve">취소 시 파일 보호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없는 파일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다시 연결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오류 문구 테스트 추가</t>
    </r>
  </si>
  <si>
    <t xml:space="preserve">남은 시간 문구 테스트 추가</t>
  </si>
  <si>
    <t xml:space="preserve">썸네일 테스트 추가</t>
  </si>
  <si>
    <t xml:space="preserve">음량 필터 테스트 추가</t>
  </si>
  <si>
    <t xml:space="preserve">페이드 필터 테스트 추가</t>
  </si>
  <si>
    <r>
      <rPr>
        <sz val="10"/>
        <color rgb="FF000000"/>
        <rFont val="Noto Sans CJK SC"/>
        <family val="2"/>
      </rPr>
      <t xml:space="preserve">전환 효과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길이 정확도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조각 형식 테스트 추가</t>
    </r>
  </si>
  <si>
    <r>
      <rPr>
        <sz val="10"/>
        <color rgb="FF000000"/>
        <rFont val="Noto Sans CJK SC"/>
        <family val="2"/>
      </rPr>
      <t xml:space="preserve">제목 </t>
    </r>
    <r>
      <rPr>
        <sz val="10"/>
        <color rgb="FF000000"/>
        <rFont val="Arial"/>
        <family val="0"/>
        <charset val="1"/>
      </rPr>
      <t xml:space="preserve">ASS·</t>
    </r>
    <r>
      <rPr>
        <sz val="10"/>
        <color rgb="FF000000"/>
        <rFont val="Noto Sans CJK SC"/>
        <family val="2"/>
      </rPr>
      <t xml:space="preserve">렌더 테스트 추가</t>
    </r>
  </si>
  <si>
    <r>
      <rPr>
        <sz val="10"/>
        <color rgb="FF000000"/>
        <rFont val="Noto Sans CJK SC"/>
        <family val="2"/>
      </rPr>
      <t xml:space="preserve">디스크 공간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결과 검사 테스트 추가</t>
    </r>
  </si>
  <si>
    <t xml:space="preserve">실행 취소 기록 테스트 추가</t>
  </si>
  <si>
    <r>
      <rPr>
        <sz val="10"/>
        <color rgb="FF000000"/>
        <rFont val="Noto Sans CJK SC"/>
        <family val="2"/>
      </rPr>
      <t xml:space="preserve">캐시 재사용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무효화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정리 테스트 추가</t>
    </r>
  </si>
  <si>
    <r>
      <rPr>
        <sz val="10"/>
        <color rgb="FF000000"/>
        <rFont val="Noto Sans CJK SC"/>
        <family val="2"/>
      </rPr>
      <t xml:space="preserve">속도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소리 테스트 추가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엣지 스트레스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종 재통과</t>
    </r>
  </si>
  <si>
    <t xml:space="preserve">컷 리듬 테스트 추가</t>
  </si>
  <si>
    <t xml:space="preserve">오류 기록 테스트 추가</t>
  </si>
  <si>
    <r>
      <rPr>
        <sz val="10"/>
        <color rgb="FF000000"/>
        <rFont val="Noto Sans CJK SC"/>
        <family val="2"/>
      </rPr>
      <t xml:space="preserve">클립 개수 </t>
    </r>
    <r>
      <rPr>
        <sz val="10"/>
        <color rgb="FF000000"/>
        <rFont val="Arial"/>
        <family val="0"/>
        <charset val="1"/>
      </rPr>
      <t xml:space="preserve">× N</t>
    </r>
    <r>
      <rPr>
        <sz val="10"/>
        <color rgb="FF000000"/>
        <rFont val="Noto Sans CJK SC"/>
        <family val="2"/>
      </rPr>
      <t xml:space="preserve">초 테스트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개 추가</t>
    </r>
  </si>
  <si>
    <r>
      <rPr>
        <sz val="10"/>
        <color rgb="FF000000"/>
        <rFont val="Noto Sans CJK SC"/>
        <family val="2"/>
      </rPr>
      <t xml:space="preserve">사진 움직임 테스트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개 추가</t>
    </r>
  </si>
  <si>
    <r>
      <rPr>
        <sz val="10"/>
        <color rgb="FF000000"/>
        <rFont val="Noto Sans CJK SC"/>
        <family val="2"/>
      </rPr>
      <t xml:space="preserve">덕킹 그래프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실제 렌더링 측정 테스트 추가</t>
    </r>
  </si>
  <si>
    <r>
      <rPr>
        <sz val="10"/>
        <color rgb="FF000000"/>
        <rFont val="Noto Sans CJK SC"/>
        <family val="2"/>
      </rPr>
      <t xml:space="preserve">색감 필터 테스트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개 추가</t>
    </r>
  </si>
  <si>
    <r>
      <rPr>
        <sz val="10"/>
        <color rgb="FF000000"/>
        <rFont val="Noto Sans CJK SC"/>
        <family val="2"/>
      </rPr>
      <t xml:space="preserve">그래픽카드 실패→</t>
    </r>
    <r>
      <rPr>
        <sz val="10"/>
        <color rgb="FF000000"/>
        <rFont val="Arial"/>
        <family val="0"/>
        <charset val="1"/>
      </rPr>
      <t xml:space="preserve">CPU </t>
    </r>
    <r>
      <rPr>
        <sz val="10"/>
        <color rgb="FF000000"/>
        <rFont val="Noto Sans CJK SC"/>
        <family val="2"/>
      </rPr>
      <t xml:space="preserve">재시도 테스트 등 추가</t>
    </r>
  </si>
  <si>
    <t xml:space="preserve">여러 비율 파일 이름 테스트 추가</t>
  </si>
  <si>
    <r>
      <rPr>
        <sz val="10"/>
        <color rgb="FF000000"/>
        <rFont val="Noto Sans CJK SC"/>
        <family val="2"/>
      </rPr>
      <t xml:space="preserve">장면 위치 계산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이미지 저장 테스트 추가</t>
    </r>
  </si>
  <si>
    <r>
      <rPr>
        <sz val="10"/>
        <color rgb="FF000000"/>
        <rFont val="Noto Sans CJK SC"/>
        <family val="2"/>
      </rPr>
      <t xml:space="preserve">자막 등장 효과 테스트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개 추가</t>
    </r>
  </si>
  <si>
    <r>
      <rPr>
        <sz val="10"/>
        <color rgb="FF000000"/>
        <rFont val="Arial"/>
        <family val="0"/>
        <charset val="1"/>
      </rPr>
      <t xml:space="preserve">HDR </t>
    </r>
    <r>
      <rPr>
        <sz val="10"/>
        <color rgb="FF000000"/>
        <rFont val="Noto Sans CJK SC"/>
        <family val="2"/>
      </rPr>
      <t xml:space="preserve">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무음 내보내기 테스트 추가</t>
    </r>
  </si>
  <si>
    <r>
      <rPr>
        <sz val="10"/>
        <color rgb="FF000000"/>
        <rFont val="Arial"/>
        <family val="0"/>
        <charset val="1"/>
      </rPr>
      <t xml:space="preserve">HEIC </t>
    </r>
    <r>
      <rPr>
        <sz val="10"/>
        <color rgb="FF000000"/>
        <rFont val="Noto Sans CJK SC"/>
        <family val="2"/>
      </rPr>
      <t xml:space="preserve">사진 테스트 추가</t>
    </r>
  </si>
  <si>
    <r>
      <rPr>
        <sz val="10"/>
        <color rgb="FF000000"/>
        <rFont val="Noto Sans CJK SC"/>
        <family val="2"/>
      </rPr>
      <t xml:space="preserve">찍은 시각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폴더 검색 테스트 추가</t>
    </r>
  </si>
  <si>
    <r>
      <rPr>
        <sz val="10"/>
        <color rgb="FF000000"/>
        <rFont val="Noto Sans CJK SC"/>
        <family val="2"/>
      </rPr>
      <t xml:space="preserve">릴스 안전 영역 테스트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개 추가</t>
    </r>
  </si>
  <si>
    <r>
      <rPr>
        <sz val="10"/>
        <color rgb="FF000000"/>
        <rFont val="Noto Sans CJK SC"/>
        <family val="2"/>
      </rPr>
      <t xml:space="preserve">템플릿 테스트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개 추가</t>
    </r>
  </si>
  <si>
    <t xml:space="preserve">음악 없이 내보내기 테스트 추가</t>
  </si>
  <si>
    <t xml:space="preserve">찍은 시각 출처 검사 추가</t>
  </si>
  <si>
    <t xml:space="preserve">날짜 도장 테스트 추가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</si>
</sst>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6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1"/>
      <name val="Noto Sans CJK SC"/>
      <family val="2"/>
    </font>
    <font>
      <sz val="10"/>
      <name val="Noto Sans CJK SC"/>
      <family val="2"/>
    </font>
    <font>
      <b val="true"/>
      <sz val="10"/>
      <color rgb="FFFFFFFF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FF8C28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FF8C2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2D9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>
          <bgColor rgb="FFD9F2D9"/>
        </patternFill>
      </fill>
    </dxf>
    <dxf>
      <fill>
        <patternFill>
          <bgColor rgb="FFFFF2CC"/>
        </patternFill>
      </fill>
    </dxf>
    <dxf>
      <fill>
        <patternFill>
          <bgColor rgb="FFEEEE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EEEE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C28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og" displayName="Log" ref="A1:F60" headerRowCount="1" totalsRowCount="0" totalsRowShown="0">
  <autoFilter ref="A1:F60"/>
  <tableColumns count="6">
    <tableColumn id="1" name="날짜"/>
    <tableColumn id="2" name="구분"/>
    <tableColumn id="3" name="항목"/>
    <tableColumn id="4" name="내용"/>
    <tableColumn id="5" name="결과"/>
    <tableColumn id="6" name="커밋"/>
  </tableColumns>
</table>
</file>

<file path=xl/tables/table2.xml><?xml version="1.0" encoding="utf-8"?>
<table xmlns="http://schemas.openxmlformats.org/spreadsheetml/2006/main" id="2" name="Roadmap" displayName="Roadmap" ref="A1:F40" headerRowCount="1" totalsRowCount="0" totalsRowShown="0">
  <autoFilter ref="A1:F40"/>
  <tableColumns count="6">
    <tableColumn id="1" name="순위"/>
    <tableColumn id="2" name="항목"/>
    <tableColumn id="3" name="기준"/>
    <tableColumn id="4" name="이유"/>
    <tableColumn id="5" name="상태"/>
    <tableColumn id="6" name="완료일"/>
  </tableColumns>
</table>
</file>

<file path=xl/tables/table3.xml><?xml version="1.0" encoding="utf-8"?>
<table xmlns="http://schemas.openxmlformats.org/spreadsheetml/2006/main" id="3" name="Tests" displayName="Tests" ref="A1:E33" headerRowCount="1" totalsRowCount="0" totalsRowShown="0">
  <autoFilter ref="A1:E33"/>
  <tableColumns count="5">
    <tableColumn id="1" name="날짜"/>
    <tableColumn id="2" name="테스트 수"/>
    <tableColumn id="3" name="통과"/>
    <tableColumn id="4" name="통과율"/>
    <tableColumn id="5" name="메모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0"/>
  </cols>
  <sheetData>
    <row r="1" customFormat="false" ht="46.2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2" t="n">
        <f aca="false">COUNTA(로드맵!B2:B40)</f>
        <v>39</v>
      </c>
    </row>
    <row r="4" customFormat="false" ht="15" hidden="false" customHeight="false" outlineLevel="0" collapsed="false">
      <c r="A4" s="3" t="s">
        <v>2</v>
      </c>
      <c r="B4" s="2" t="n">
        <f aca="false">COUNTIF(로드맵!E2:E40,"완료")</f>
        <v>35</v>
      </c>
    </row>
    <row r="5" customFormat="false" ht="15" hidden="false" customHeight="false" outlineLevel="0" collapsed="false">
      <c r="A5" s="3" t="s">
        <v>3</v>
      </c>
      <c r="B5" s="2" t="n">
        <f aca="false">COUNTIF(로드맵!E2:E40,"진행 중")</f>
        <v>0</v>
      </c>
    </row>
    <row r="6" customFormat="false" ht="15" hidden="false" customHeight="false" outlineLevel="0" collapsed="false">
      <c r="A6" s="3" t="s">
        <v>4</v>
      </c>
      <c r="B6" s="2" t="n">
        <f aca="false">COUNTIF(로드맵!E2:E40,"대기")</f>
        <v>4</v>
      </c>
    </row>
    <row r="7" customFormat="false" ht="15" hidden="false" customHeight="false" outlineLevel="0" collapsed="false">
      <c r="A7" s="3" t="s">
        <v>5</v>
      </c>
      <c r="B7" s="4" t="n">
        <f aca="false">IFERROR(B4/B3,0)</f>
        <v>0.897435897435898</v>
      </c>
    </row>
    <row r="8" customFormat="false" ht="15" hidden="false" customHeight="false" outlineLevel="0" collapsed="false">
      <c r="A8" s="3"/>
      <c r="B8" s="2"/>
    </row>
    <row r="9" customFormat="false" ht="15" hidden="false" customHeight="false" outlineLevel="0" collapsed="false">
      <c r="A9" s="3" t="s">
        <v>6</v>
      </c>
      <c r="B9" s="2" t="n">
        <f aca="false">COUNTA('개발 기록'!C2:C60)</f>
        <v>59</v>
      </c>
    </row>
    <row r="10" customFormat="false" ht="15" hidden="false" customHeight="false" outlineLevel="0" collapsed="false">
      <c r="A10" s="3" t="s">
        <v>7</v>
      </c>
      <c r="B10" s="2" t="n">
        <f aca="false">COUNTIF('개발 기록'!B2:B60,"사용자 제보")</f>
        <v>5</v>
      </c>
    </row>
    <row r="11" customFormat="false" ht="15" hidden="false" customHeight="false" outlineLevel="0" collapsed="false">
      <c r="A11" s="3" t="s">
        <v>8</v>
      </c>
      <c r="B11" s="2" t="n">
        <f aca="false">INDEX(테스트!B2:B33,32)</f>
        <v>107</v>
      </c>
    </row>
    <row r="12" customFormat="false" ht="15" hidden="false" customHeight="false" outlineLevel="0" collapsed="false">
      <c r="A12" s="3" t="s">
        <v>9</v>
      </c>
      <c r="B12" s="2" t="n">
        <f aca="false">INDEX(테스트!C2:C33,32)</f>
        <v>107</v>
      </c>
    </row>
    <row r="13" customFormat="false" ht="15" hidden="false" customHeight="false" outlineLevel="0" collapsed="false">
      <c r="A13" s="2"/>
      <c r="B13" s="2"/>
    </row>
    <row r="14" customFormat="false" ht="17.15" hidden="false" customHeight="false" outlineLevel="0" collapsed="false">
      <c r="A14" s="5" t="s">
        <v>10</v>
      </c>
      <c r="B14" s="2"/>
    </row>
    <row r="15" customFormat="false" ht="15" hidden="false" customHeight="false" outlineLevel="0" collapsed="false">
      <c r="A15" s="6" t="s">
        <v>11</v>
      </c>
      <c r="B15" s="6" t="s">
        <v>12</v>
      </c>
    </row>
    <row r="16" customFormat="false" ht="15" hidden="false" customHeight="false" outlineLevel="0" collapsed="false">
      <c r="A16" s="6" t="s">
        <v>13</v>
      </c>
      <c r="B16" s="6" t="s">
        <v>14</v>
      </c>
    </row>
    <row r="17" customFormat="false" ht="15" hidden="false" customHeight="false" outlineLevel="0" collapsed="false">
      <c r="A17" s="6" t="s">
        <v>15</v>
      </c>
      <c r="B17" s="6" t="s">
        <v>16</v>
      </c>
    </row>
    <row r="18" customFormat="false" ht="15" hidden="false" customHeight="false" outlineLevel="0" collapsed="false">
      <c r="A18" s="6" t="s">
        <v>17</v>
      </c>
      <c r="B18" s="6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9"/>
    <col collapsed="false" customWidth="true" hidden="false" outlineLevel="0" max="4" min="4" style="0" width="48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customFormat="false" ht="15" hidden="false" customHeight="false" outlineLevel="0" collapsed="false">
      <c r="A2" s="8" t="n">
        <v>1</v>
      </c>
      <c r="B2" s="9" t="s">
        <v>25</v>
      </c>
      <c r="C2" s="9" t="s">
        <v>26</v>
      </c>
      <c r="D2" s="9" t="s">
        <v>27</v>
      </c>
      <c r="E2" s="9" t="s">
        <v>2</v>
      </c>
      <c r="F2" s="8" t="s">
        <v>28</v>
      </c>
    </row>
    <row r="3" customFormat="false" ht="15" hidden="false" customHeight="false" outlineLevel="0" collapsed="false">
      <c r="A3" s="8" t="n">
        <v>2</v>
      </c>
      <c r="B3" s="9" t="s">
        <v>29</v>
      </c>
      <c r="C3" s="9" t="s">
        <v>30</v>
      </c>
      <c r="D3" s="9" t="s">
        <v>31</v>
      </c>
      <c r="E3" s="9" t="s">
        <v>2</v>
      </c>
      <c r="F3" s="8" t="s">
        <v>28</v>
      </c>
    </row>
    <row r="4" customFormat="false" ht="29.85" hidden="false" customHeight="false" outlineLevel="0" collapsed="false">
      <c r="A4" s="8" t="n">
        <v>3</v>
      </c>
      <c r="B4" s="9" t="s">
        <v>32</v>
      </c>
      <c r="C4" s="9" t="s">
        <v>30</v>
      </c>
      <c r="D4" s="9" t="s">
        <v>33</v>
      </c>
      <c r="E4" s="9" t="s">
        <v>2</v>
      </c>
      <c r="F4" s="8" t="s">
        <v>28</v>
      </c>
    </row>
    <row r="5" customFormat="false" ht="15" hidden="false" customHeight="false" outlineLevel="0" collapsed="false">
      <c r="A5" s="8" t="n">
        <v>4</v>
      </c>
      <c r="B5" s="9" t="s">
        <v>34</v>
      </c>
      <c r="C5" s="9" t="s">
        <v>26</v>
      </c>
      <c r="D5" s="9" t="s">
        <v>35</v>
      </c>
      <c r="E5" s="9" t="s">
        <v>2</v>
      </c>
      <c r="F5" s="8" t="s">
        <v>28</v>
      </c>
    </row>
    <row r="6" customFormat="false" ht="15" hidden="false" customHeight="false" outlineLevel="0" collapsed="false">
      <c r="A6" s="8" t="n">
        <v>5</v>
      </c>
      <c r="B6" s="9" t="s">
        <v>36</v>
      </c>
      <c r="C6" s="9" t="s">
        <v>26</v>
      </c>
      <c r="D6" s="9" t="s">
        <v>37</v>
      </c>
      <c r="E6" s="9" t="s">
        <v>2</v>
      </c>
      <c r="F6" s="8" t="s">
        <v>28</v>
      </c>
    </row>
    <row r="7" customFormat="false" ht="15" hidden="false" customHeight="false" outlineLevel="0" collapsed="false">
      <c r="A7" s="8" t="n">
        <v>6</v>
      </c>
      <c r="B7" s="9" t="s">
        <v>38</v>
      </c>
      <c r="C7" s="9" t="s">
        <v>39</v>
      </c>
      <c r="D7" s="9" t="s">
        <v>40</v>
      </c>
      <c r="E7" s="9" t="s">
        <v>2</v>
      </c>
      <c r="F7" s="8" t="s">
        <v>28</v>
      </c>
    </row>
    <row r="8" customFormat="false" ht="15" hidden="false" customHeight="false" outlineLevel="0" collapsed="false">
      <c r="A8" s="8" t="n">
        <v>7</v>
      </c>
      <c r="B8" s="9" t="s">
        <v>41</v>
      </c>
      <c r="C8" s="9" t="s">
        <v>39</v>
      </c>
      <c r="D8" s="9" t="s">
        <v>42</v>
      </c>
      <c r="E8" s="9" t="s">
        <v>2</v>
      </c>
      <c r="F8" s="8" t="s">
        <v>28</v>
      </c>
    </row>
    <row r="9" customFormat="false" ht="15" hidden="false" customHeight="false" outlineLevel="0" collapsed="false">
      <c r="A9" s="8" t="n">
        <v>8</v>
      </c>
      <c r="B9" s="9" t="s">
        <v>43</v>
      </c>
      <c r="C9" s="9" t="s">
        <v>39</v>
      </c>
      <c r="D9" s="9" t="s">
        <v>44</v>
      </c>
      <c r="E9" s="9" t="s">
        <v>2</v>
      </c>
      <c r="F9" s="8" t="s">
        <v>28</v>
      </c>
    </row>
    <row r="10" customFormat="false" ht="15" hidden="false" customHeight="false" outlineLevel="0" collapsed="false">
      <c r="A10" s="8" t="n">
        <v>9</v>
      </c>
      <c r="B10" s="9" t="s">
        <v>45</v>
      </c>
      <c r="C10" s="9" t="s">
        <v>39</v>
      </c>
      <c r="D10" s="9" t="s">
        <v>46</v>
      </c>
      <c r="E10" s="9" t="s">
        <v>2</v>
      </c>
      <c r="F10" s="8" t="s">
        <v>28</v>
      </c>
    </row>
    <row r="11" customFormat="false" ht="29.85" hidden="false" customHeight="false" outlineLevel="0" collapsed="false">
      <c r="A11" s="8" t="n">
        <v>10</v>
      </c>
      <c r="B11" s="9" t="s">
        <v>47</v>
      </c>
      <c r="C11" s="9" t="s">
        <v>30</v>
      </c>
      <c r="D11" s="9" t="s">
        <v>48</v>
      </c>
      <c r="E11" s="9" t="s">
        <v>2</v>
      </c>
      <c r="F11" s="8" t="s">
        <v>28</v>
      </c>
    </row>
    <row r="12" customFormat="false" ht="15" hidden="false" customHeight="false" outlineLevel="0" collapsed="false">
      <c r="A12" s="8" t="n">
        <v>11</v>
      </c>
      <c r="B12" s="9" t="s">
        <v>49</v>
      </c>
      <c r="C12" s="9" t="s">
        <v>30</v>
      </c>
      <c r="D12" s="9" t="s">
        <v>50</v>
      </c>
      <c r="E12" s="9" t="s">
        <v>2</v>
      </c>
      <c r="F12" s="8" t="s">
        <v>28</v>
      </c>
    </row>
    <row r="13" customFormat="false" ht="29.85" hidden="false" customHeight="false" outlineLevel="0" collapsed="false">
      <c r="A13" s="8" t="n">
        <v>12</v>
      </c>
      <c r="B13" s="9" t="s">
        <v>51</v>
      </c>
      <c r="C13" s="9" t="s">
        <v>52</v>
      </c>
      <c r="D13" s="8" t="s">
        <v>53</v>
      </c>
      <c r="E13" s="9" t="s">
        <v>2</v>
      </c>
      <c r="F13" s="8" t="s">
        <v>28</v>
      </c>
    </row>
    <row r="14" customFormat="false" ht="29.85" hidden="false" customHeight="false" outlineLevel="0" collapsed="false">
      <c r="A14" s="8" t="n">
        <v>13</v>
      </c>
      <c r="B14" s="9" t="s">
        <v>54</v>
      </c>
      <c r="C14" s="9" t="s">
        <v>26</v>
      </c>
      <c r="D14" s="9" t="s">
        <v>55</v>
      </c>
      <c r="E14" s="9" t="s">
        <v>2</v>
      </c>
      <c r="F14" s="8" t="s">
        <v>28</v>
      </c>
    </row>
    <row r="15" customFormat="false" ht="15" hidden="false" customHeight="false" outlineLevel="0" collapsed="false">
      <c r="A15" s="8" t="n">
        <v>14</v>
      </c>
      <c r="B15" s="9" t="s">
        <v>56</v>
      </c>
      <c r="C15" s="9" t="s">
        <v>39</v>
      </c>
      <c r="D15" s="9" t="s">
        <v>57</v>
      </c>
      <c r="E15" s="9" t="s">
        <v>2</v>
      </c>
      <c r="F15" s="8" t="s">
        <v>28</v>
      </c>
    </row>
    <row r="16" customFormat="false" ht="29.85" hidden="false" customHeight="false" outlineLevel="0" collapsed="false">
      <c r="A16" s="8" t="n">
        <v>15</v>
      </c>
      <c r="B16" s="9" t="s">
        <v>58</v>
      </c>
      <c r="C16" s="9" t="s">
        <v>30</v>
      </c>
      <c r="D16" s="9" t="s">
        <v>59</v>
      </c>
      <c r="E16" s="9" t="s">
        <v>4</v>
      </c>
      <c r="F16" s="8"/>
    </row>
    <row r="17" customFormat="false" ht="26.85" hidden="false" customHeight="false" outlineLevel="0" collapsed="false">
      <c r="A17" s="8" t="n">
        <v>16</v>
      </c>
      <c r="B17" s="9" t="s">
        <v>60</v>
      </c>
      <c r="C17" s="9" t="s">
        <v>52</v>
      </c>
      <c r="D17" s="9" t="s">
        <v>61</v>
      </c>
      <c r="E17" s="9" t="s">
        <v>4</v>
      </c>
      <c r="F17" s="8"/>
    </row>
    <row r="18" customFormat="false" ht="15" hidden="false" customHeight="false" outlineLevel="0" collapsed="false">
      <c r="A18" s="8" t="n">
        <v>17</v>
      </c>
      <c r="B18" s="9" t="s">
        <v>62</v>
      </c>
      <c r="C18" s="9" t="s">
        <v>26</v>
      </c>
      <c r="D18" s="9" t="s">
        <v>63</v>
      </c>
      <c r="E18" s="9" t="s">
        <v>2</v>
      </c>
      <c r="F18" s="8" t="s">
        <v>28</v>
      </c>
    </row>
    <row r="19" customFormat="false" ht="15" hidden="false" customHeight="false" outlineLevel="0" collapsed="false">
      <c r="A19" s="8" t="n">
        <v>18</v>
      </c>
      <c r="B19" s="9" t="s">
        <v>64</v>
      </c>
      <c r="C19" s="9" t="s">
        <v>39</v>
      </c>
      <c r="D19" s="9" t="s">
        <v>65</v>
      </c>
      <c r="E19" s="9" t="s">
        <v>2</v>
      </c>
      <c r="F19" s="8" t="s">
        <v>28</v>
      </c>
    </row>
    <row r="20" customFormat="false" ht="29.85" hidden="false" customHeight="false" outlineLevel="0" collapsed="false">
      <c r="A20" s="8" t="n">
        <v>19</v>
      </c>
      <c r="B20" s="9" t="s">
        <v>66</v>
      </c>
      <c r="C20" s="9" t="s">
        <v>30</v>
      </c>
      <c r="D20" s="9" t="s">
        <v>67</v>
      </c>
      <c r="E20" s="9" t="s">
        <v>2</v>
      </c>
      <c r="F20" s="8" t="s">
        <v>28</v>
      </c>
    </row>
    <row r="21" customFormat="false" ht="29.85" hidden="false" customHeight="false" outlineLevel="0" collapsed="false">
      <c r="A21" s="8" t="n">
        <v>20</v>
      </c>
      <c r="B21" s="9" t="s">
        <v>68</v>
      </c>
      <c r="C21" s="9" t="s">
        <v>52</v>
      </c>
      <c r="D21" s="9" t="s">
        <v>69</v>
      </c>
      <c r="E21" s="9" t="s">
        <v>2</v>
      </c>
      <c r="F21" s="8" t="s">
        <v>28</v>
      </c>
    </row>
    <row r="22" customFormat="false" ht="15" hidden="false" customHeight="false" outlineLevel="0" collapsed="false">
      <c r="A22" s="8" t="n">
        <v>21</v>
      </c>
      <c r="B22" s="9" t="s">
        <v>70</v>
      </c>
      <c r="C22" s="9" t="s">
        <v>30</v>
      </c>
      <c r="D22" s="9" t="s">
        <v>71</v>
      </c>
      <c r="E22" s="9" t="s">
        <v>2</v>
      </c>
      <c r="F22" s="8" t="s">
        <v>28</v>
      </c>
    </row>
    <row r="23" customFormat="false" ht="15" hidden="false" customHeight="false" outlineLevel="0" collapsed="false">
      <c r="A23" s="8" t="n">
        <v>22</v>
      </c>
      <c r="B23" s="9" t="s">
        <v>72</v>
      </c>
      <c r="C23" s="9" t="s">
        <v>26</v>
      </c>
      <c r="D23" s="9" t="s">
        <v>73</v>
      </c>
      <c r="E23" s="9" t="s">
        <v>2</v>
      </c>
      <c r="F23" s="8" t="s">
        <v>28</v>
      </c>
    </row>
    <row r="24" customFormat="false" ht="15" hidden="false" customHeight="false" outlineLevel="0" collapsed="false">
      <c r="A24" s="8" t="n">
        <v>23</v>
      </c>
      <c r="B24" s="9" t="s">
        <v>74</v>
      </c>
      <c r="C24" s="9" t="s">
        <v>39</v>
      </c>
      <c r="D24" s="9" t="s">
        <v>75</v>
      </c>
      <c r="E24" s="9" t="s">
        <v>2</v>
      </c>
      <c r="F24" s="8" t="s">
        <v>28</v>
      </c>
    </row>
    <row r="25" customFormat="false" ht="15" hidden="false" customHeight="false" outlineLevel="0" collapsed="false">
      <c r="A25" s="8" t="n">
        <v>24</v>
      </c>
      <c r="B25" s="9" t="s">
        <v>76</v>
      </c>
      <c r="C25" s="9" t="s">
        <v>39</v>
      </c>
      <c r="D25" s="9" t="s">
        <v>77</v>
      </c>
      <c r="E25" s="9" t="s">
        <v>2</v>
      </c>
      <c r="F25" s="8" t="s">
        <v>28</v>
      </c>
    </row>
    <row r="26" customFormat="false" ht="15" hidden="false" customHeight="false" outlineLevel="0" collapsed="false">
      <c r="A26" s="8" t="n">
        <v>25</v>
      </c>
      <c r="B26" s="9" t="s">
        <v>78</v>
      </c>
      <c r="C26" s="9" t="s">
        <v>39</v>
      </c>
      <c r="D26" s="9" t="s">
        <v>79</v>
      </c>
      <c r="E26" s="9" t="s">
        <v>2</v>
      </c>
      <c r="F26" s="8" t="s">
        <v>28</v>
      </c>
    </row>
    <row r="27" customFormat="false" ht="29.85" hidden="false" customHeight="false" outlineLevel="0" collapsed="false">
      <c r="A27" s="8" t="n">
        <v>26</v>
      </c>
      <c r="B27" s="9" t="s">
        <v>80</v>
      </c>
      <c r="C27" s="9" t="s">
        <v>26</v>
      </c>
      <c r="D27" s="9" t="s">
        <v>81</v>
      </c>
      <c r="E27" s="9" t="s">
        <v>2</v>
      </c>
      <c r="F27" s="8" t="s">
        <v>28</v>
      </c>
    </row>
    <row r="28" customFormat="false" ht="29.85" hidden="false" customHeight="false" outlineLevel="0" collapsed="false">
      <c r="A28" s="8" t="n">
        <v>27</v>
      </c>
      <c r="B28" s="9" t="s">
        <v>82</v>
      </c>
      <c r="C28" s="9" t="s">
        <v>26</v>
      </c>
      <c r="D28" s="9" t="s">
        <v>83</v>
      </c>
      <c r="E28" s="9" t="s">
        <v>2</v>
      </c>
      <c r="F28" s="8" t="s">
        <v>28</v>
      </c>
    </row>
    <row r="29" customFormat="false" ht="29.85" hidden="false" customHeight="false" outlineLevel="0" collapsed="false">
      <c r="A29" s="8" t="n">
        <v>28</v>
      </c>
      <c r="B29" s="9" t="s">
        <v>84</v>
      </c>
      <c r="C29" s="9" t="s">
        <v>39</v>
      </c>
      <c r="D29" s="9" t="s">
        <v>85</v>
      </c>
      <c r="E29" s="9" t="s">
        <v>2</v>
      </c>
      <c r="F29" s="8" t="s">
        <v>28</v>
      </c>
    </row>
    <row r="30" customFormat="false" ht="15" hidden="false" customHeight="false" outlineLevel="0" collapsed="false">
      <c r="A30" s="8" t="n">
        <v>29</v>
      </c>
      <c r="B30" s="9" t="s">
        <v>86</v>
      </c>
      <c r="C30" s="9" t="s">
        <v>39</v>
      </c>
      <c r="D30" s="9" t="s">
        <v>87</v>
      </c>
      <c r="E30" s="9" t="s">
        <v>2</v>
      </c>
      <c r="F30" s="8" t="s">
        <v>28</v>
      </c>
    </row>
    <row r="31" customFormat="false" ht="29.85" hidden="false" customHeight="false" outlineLevel="0" collapsed="false">
      <c r="A31" s="8" t="n">
        <v>30</v>
      </c>
      <c r="B31" s="9" t="s">
        <v>88</v>
      </c>
      <c r="C31" s="9" t="s">
        <v>30</v>
      </c>
      <c r="D31" s="9" t="s">
        <v>89</v>
      </c>
      <c r="E31" s="9" t="s">
        <v>2</v>
      </c>
      <c r="F31" s="8" t="s">
        <v>28</v>
      </c>
    </row>
    <row r="32" customFormat="false" ht="15" hidden="false" customHeight="false" outlineLevel="0" collapsed="false">
      <c r="A32" s="8" t="n">
        <v>31</v>
      </c>
      <c r="B32" s="9" t="s">
        <v>90</v>
      </c>
      <c r="C32" s="9" t="s">
        <v>30</v>
      </c>
      <c r="D32" s="9" t="s">
        <v>91</v>
      </c>
      <c r="E32" s="9" t="s">
        <v>2</v>
      </c>
      <c r="F32" s="8" t="s">
        <v>28</v>
      </c>
    </row>
    <row r="33" customFormat="false" ht="29.85" hidden="false" customHeight="false" outlineLevel="0" collapsed="false">
      <c r="A33" s="8" t="n">
        <v>32</v>
      </c>
      <c r="B33" s="9" t="s">
        <v>92</v>
      </c>
      <c r="C33" s="9" t="s">
        <v>26</v>
      </c>
      <c r="D33" s="9" t="s">
        <v>93</v>
      </c>
      <c r="E33" s="9" t="s">
        <v>2</v>
      </c>
      <c r="F33" s="8" t="s">
        <v>28</v>
      </c>
    </row>
    <row r="34" customFormat="false" ht="29.85" hidden="false" customHeight="false" outlineLevel="0" collapsed="false">
      <c r="A34" s="8" t="n">
        <v>33</v>
      </c>
      <c r="B34" s="9" t="s">
        <v>94</v>
      </c>
      <c r="C34" s="9" t="s">
        <v>39</v>
      </c>
      <c r="D34" s="9" t="s">
        <v>95</v>
      </c>
      <c r="E34" s="9" t="s">
        <v>2</v>
      </c>
      <c r="F34" s="8" t="s">
        <v>28</v>
      </c>
    </row>
    <row r="35" customFormat="false" ht="29.85" hidden="false" customHeight="false" outlineLevel="0" collapsed="false">
      <c r="A35" s="8" t="n">
        <v>34</v>
      </c>
      <c r="B35" s="9" t="s">
        <v>96</v>
      </c>
      <c r="C35" s="9" t="s">
        <v>26</v>
      </c>
      <c r="D35" s="9" t="s">
        <v>97</v>
      </c>
      <c r="E35" s="9" t="s">
        <v>2</v>
      </c>
      <c r="F35" s="8" t="s">
        <v>28</v>
      </c>
    </row>
    <row r="36" customFormat="false" ht="29.85" hidden="false" customHeight="false" outlineLevel="0" collapsed="false">
      <c r="A36" s="8" t="n">
        <v>35</v>
      </c>
      <c r="B36" s="9" t="s">
        <v>98</v>
      </c>
      <c r="C36" s="9" t="s">
        <v>39</v>
      </c>
      <c r="D36" s="9" t="s">
        <v>99</v>
      </c>
      <c r="E36" s="9" t="s">
        <v>2</v>
      </c>
      <c r="F36" s="8" t="s">
        <v>28</v>
      </c>
    </row>
    <row r="37" customFormat="false" ht="29.85" hidden="false" customHeight="false" outlineLevel="0" collapsed="false">
      <c r="A37" s="8" t="n">
        <v>36</v>
      </c>
      <c r="B37" s="9" t="s">
        <v>100</v>
      </c>
      <c r="C37" s="9" t="s">
        <v>52</v>
      </c>
      <c r="D37" s="9" t="s">
        <v>101</v>
      </c>
      <c r="E37" s="9" t="s">
        <v>2</v>
      </c>
      <c r="F37" s="8" t="s">
        <v>28</v>
      </c>
    </row>
    <row r="38" customFormat="false" ht="15" hidden="false" customHeight="false" outlineLevel="0" collapsed="false">
      <c r="A38" s="8" t="n">
        <v>37</v>
      </c>
      <c r="B38" s="9" t="s">
        <v>102</v>
      </c>
      <c r="C38" s="9" t="s">
        <v>39</v>
      </c>
      <c r="D38" s="8" t="s">
        <v>103</v>
      </c>
      <c r="E38" s="9" t="s">
        <v>2</v>
      </c>
      <c r="F38" s="8" t="s">
        <v>28</v>
      </c>
    </row>
    <row r="39" customFormat="false" ht="15" hidden="false" customHeight="false" outlineLevel="0" collapsed="false">
      <c r="A39" s="8" t="n">
        <v>38</v>
      </c>
      <c r="B39" s="9" t="s">
        <v>104</v>
      </c>
      <c r="C39" s="9" t="s">
        <v>26</v>
      </c>
      <c r="D39" s="8" t="s">
        <v>105</v>
      </c>
      <c r="E39" s="9" t="s">
        <v>4</v>
      </c>
      <c r="F39" s="8"/>
    </row>
    <row r="40" customFormat="false" ht="15" hidden="false" customHeight="false" outlineLevel="0" collapsed="false">
      <c r="A40" s="8" t="n">
        <v>39</v>
      </c>
      <c r="B40" s="9" t="s">
        <v>106</v>
      </c>
      <c r="C40" s="9" t="s">
        <v>26</v>
      </c>
      <c r="D40" s="9" t="s">
        <v>107</v>
      </c>
      <c r="E40" s="9" t="s">
        <v>4</v>
      </c>
      <c r="F40" s="8"/>
    </row>
  </sheetData>
  <conditionalFormatting sqref="E2:E40">
    <cfRule type="cellIs" priority="2" operator="equal" aboveAverage="0" equalAverage="0" bottom="0" percent="0" rank="0" text="" dxfId="6">
      <formula>"완료"</formula>
    </cfRule>
    <cfRule type="cellIs" priority="3" operator="equal" aboveAverage="0" equalAverage="0" bottom="0" percent="0" rank="0" text="" dxfId="7">
      <formula>"진행 중"</formula>
    </cfRule>
    <cfRule type="cellIs" priority="4" operator="equal" aboveAverage="0" equalAverage="0" bottom="0" percent="0" rank="0" text="" dxfId="8">
      <formula>"대기"</formula>
    </cfRule>
    <cfRule type="cellIs" priority="5" operator="equal" aboveAverage="0" equalAverage="0" bottom="0" percent="0" rank="0" text="" dxfId="6">
      <formula>"수정"</formula>
    </cfRule>
    <cfRule type="cellIs" priority="6" operator="equal" aboveAverage="0" equalAverage="0" bottom="0" percent="0" rank="0" text="" dxfId="7">
      <formula>"확인 대기"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7" t="s">
        <v>108</v>
      </c>
      <c r="B1" s="7" t="s">
        <v>109</v>
      </c>
      <c r="C1" s="7" t="s">
        <v>20</v>
      </c>
      <c r="D1" s="7" t="s">
        <v>110</v>
      </c>
      <c r="E1" s="7" t="s">
        <v>111</v>
      </c>
      <c r="F1" s="7" t="s">
        <v>112</v>
      </c>
    </row>
    <row r="2" customFormat="false" ht="15" hidden="false" customHeight="false" outlineLevel="0" collapsed="false">
      <c r="A2" s="8" t="s">
        <v>113</v>
      </c>
      <c r="B2" s="9" t="s">
        <v>114</v>
      </c>
      <c r="C2" s="9" t="s">
        <v>115</v>
      </c>
      <c r="D2" s="9" t="s">
        <v>116</v>
      </c>
      <c r="E2" s="9" t="s">
        <v>2</v>
      </c>
      <c r="F2" s="8" t="s">
        <v>117</v>
      </c>
    </row>
    <row r="3" customFormat="false" ht="29.85" hidden="false" customHeight="false" outlineLevel="0" collapsed="false">
      <c r="A3" s="8" t="s">
        <v>113</v>
      </c>
      <c r="B3" s="9" t="s">
        <v>114</v>
      </c>
      <c r="C3" s="9" t="s">
        <v>118</v>
      </c>
      <c r="D3" s="8" t="s">
        <v>119</v>
      </c>
      <c r="E3" s="9" t="s">
        <v>2</v>
      </c>
      <c r="F3" s="8" t="s">
        <v>120</v>
      </c>
    </row>
    <row r="4" customFormat="false" ht="15" hidden="false" customHeight="false" outlineLevel="0" collapsed="false">
      <c r="A4" s="8" t="s">
        <v>113</v>
      </c>
      <c r="B4" s="9" t="s">
        <v>121</v>
      </c>
      <c r="C4" s="8" t="s">
        <v>122</v>
      </c>
      <c r="D4" s="8" t="s">
        <v>123</v>
      </c>
      <c r="E4" s="9" t="s">
        <v>124</v>
      </c>
      <c r="F4" s="8" t="s">
        <v>120</v>
      </c>
    </row>
    <row r="5" customFormat="false" ht="15" hidden="false" customHeight="false" outlineLevel="0" collapsed="false">
      <c r="A5" s="8" t="s">
        <v>113</v>
      </c>
      <c r="B5" s="9" t="s">
        <v>114</v>
      </c>
      <c r="C5" s="9" t="s">
        <v>125</v>
      </c>
      <c r="D5" s="9" t="s">
        <v>126</v>
      </c>
      <c r="E5" s="9" t="s">
        <v>2</v>
      </c>
      <c r="F5" s="8" t="s">
        <v>127</v>
      </c>
    </row>
    <row r="6" customFormat="false" ht="15" hidden="false" customHeight="false" outlineLevel="0" collapsed="false">
      <c r="A6" s="8" t="s">
        <v>113</v>
      </c>
      <c r="B6" s="9" t="s">
        <v>114</v>
      </c>
      <c r="C6" s="9" t="s">
        <v>128</v>
      </c>
      <c r="D6" s="8" t="s">
        <v>129</v>
      </c>
      <c r="E6" s="9" t="s">
        <v>2</v>
      </c>
      <c r="F6" s="8" t="s">
        <v>130</v>
      </c>
    </row>
    <row r="7" customFormat="false" ht="29.85" hidden="false" customHeight="false" outlineLevel="0" collapsed="false">
      <c r="A7" s="8" t="s">
        <v>113</v>
      </c>
      <c r="B7" s="9" t="s">
        <v>131</v>
      </c>
      <c r="C7" s="9" t="s">
        <v>132</v>
      </c>
      <c r="D7" s="9" t="s">
        <v>133</v>
      </c>
      <c r="E7" s="9" t="s">
        <v>121</v>
      </c>
      <c r="F7" s="8" t="s">
        <v>134</v>
      </c>
    </row>
    <row r="8" customFormat="false" ht="29.85" hidden="false" customHeight="false" outlineLevel="0" collapsed="false">
      <c r="A8" s="8" t="s">
        <v>113</v>
      </c>
      <c r="B8" s="9" t="s">
        <v>131</v>
      </c>
      <c r="C8" s="9" t="s">
        <v>135</v>
      </c>
      <c r="D8" s="9" t="s">
        <v>136</v>
      </c>
      <c r="E8" s="9" t="s">
        <v>121</v>
      </c>
      <c r="F8" s="8" t="s">
        <v>137</v>
      </c>
    </row>
    <row r="9" customFormat="false" ht="29.85" hidden="false" customHeight="false" outlineLevel="0" collapsed="false">
      <c r="A9" s="8" t="s">
        <v>113</v>
      </c>
      <c r="B9" s="9" t="s">
        <v>131</v>
      </c>
      <c r="C9" s="9" t="s">
        <v>138</v>
      </c>
      <c r="D9" s="9" t="s">
        <v>139</v>
      </c>
      <c r="E9" s="9" t="s">
        <v>140</v>
      </c>
      <c r="F9" s="8" t="s">
        <v>141</v>
      </c>
    </row>
    <row r="10" customFormat="false" ht="29.85" hidden="false" customHeight="false" outlineLevel="0" collapsed="false">
      <c r="A10" s="8" t="s">
        <v>28</v>
      </c>
      <c r="B10" s="9" t="s">
        <v>142</v>
      </c>
      <c r="C10" s="9" t="s">
        <v>143</v>
      </c>
      <c r="D10" s="9" t="s">
        <v>144</v>
      </c>
      <c r="E10" s="9" t="s">
        <v>145</v>
      </c>
      <c r="F10" s="8"/>
    </row>
    <row r="11" customFormat="false" ht="29.85" hidden="false" customHeight="false" outlineLevel="0" collapsed="false">
      <c r="A11" s="8" t="s">
        <v>28</v>
      </c>
      <c r="B11" s="9" t="s">
        <v>114</v>
      </c>
      <c r="C11" s="8" t="s">
        <v>146</v>
      </c>
      <c r="D11" s="9" t="s">
        <v>147</v>
      </c>
      <c r="E11" s="9" t="s">
        <v>148</v>
      </c>
      <c r="F11" s="8" t="s">
        <v>149</v>
      </c>
    </row>
    <row r="12" customFormat="false" ht="29.85" hidden="false" customHeight="false" outlineLevel="0" collapsed="false">
      <c r="A12" s="8" t="s">
        <v>28</v>
      </c>
      <c r="B12" s="9" t="s">
        <v>114</v>
      </c>
      <c r="C12" s="8" t="s">
        <v>150</v>
      </c>
      <c r="D12" s="9" t="s">
        <v>151</v>
      </c>
      <c r="E12" s="9" t="s">
        <v>2</v>
      </c>
      <c r="F12" s="8" t="s">
        <v>152</v>
      </c>
    </row>
    <row r="13" customFormat="false" ht="29.85" hidden="false" customHeight="false" outlineLevel="0" collapsed="false">
      <c r="A13" s="8" t="s">
        <v>28</v>
      </c>
      <c r="B13" s="9" t="s">
        <v>121</v>
      </c>
      <c r="C13" s="8" t="s">
        <v>153</v>
      </c>
      <c r="D13" s="9" t="s">
        <v>154</v>
      </c>
      <c r="E13" s="9" t="s">
        <v>2</v>
      </c>
      <c r="F13" s="8" t="s">
        <v>155</v>
      </c>
    </row>
    <row r="14" customFormat="false" ht="29.85" hidden="false" customHeight="false" outlineLevel="0" collapsed="false">
      <c r="A14" s="8" t="s">
        <v>28</v>
      </c>
      <c r="B14" s="9" t="s">
        <v>114</v>
      </c>
      <c r="C14" s="8" t="s">
        <v>156</v>
      </c>
      <c r="D14" s="9" t="s">
        <v>157</v>
      </c>
      <c r="E14" s="9" t="s">
        <v>2</v>
      </c>
      <c r="F14" s="8" t="s">
        <v>155</v>
      </c>
    </row>
    <row r="15" customFormat="false" ht="29.85" hidden="false" customHeight="false" outlineLevel="0" collapsed="false">
      <c r="A15" s="8" t="s">
        <v>28</v>
      </c>
      <c r="B15" s="9" t="s">
        <v>142</v>
      </c>
      <c r="C15" s="8" t="s">
        <v>158</v>
      </c>
      <c r="D15" s="9" t="s">
        <v>159</v>
      </c>
      <c r="E15" s="9" t="s">
        <v>160</v>
      </c>
      <c r="F15" s="8"/>
    </row>
    <row r="16" customFormat="false" ht="29.85" hidden="false" customHeight="false" outlineLevel="0" collapsed="false">
      <c r="A16" s="8" t="s">
        <v>28</v>
      </c>
      <c r="B16" s="9" t="s">
        <v>114</v>
      </c>
      <c r="C16" s="9" t="s">
        <v>161</v>
      </c>
      <c r="D16" s="8" t="s">
        <v>162</v>
      </c>
      <c r="E16" s="9" t="s">
        <v>2</v>
      </c>
      <c r="F16" s="8" t="s">
        <v>155</v>
      </c>
    </row>
    <row r="17" customFormat="false" ht="29.85" hidden="false" customHeight="false" outlineLevel="0" collapsed="false">
      <c r="A17" s="8" t="s">
        <v>28</v>
      </c>
      <c r="B17" s="9" t="s">
        <v>114</v>
      </c>
      <c r="C17" s="8" t="s">
        <v>163</v>
      </c>
      <c r="D17" s="9" t="s">
        <v>164</v>
      </c>
      <c r="E17" s="9" t="s">
        <v>2</v>
      </c>
      <c r="F17" s="8" t="s">
        <v>165</v>
      </c>
    </row>
    <row r="18" customFormat="false" ht="29.85" hidden="false" customHeight="false" outlineLevel="0" collapsed="false">
      <c r="A18" s="8" t="s">
        <v>28</v>
      </c>
      <c r="B18" s="9" t="s">
        <v>114</v>
      </c>
      <c r="C18" s="8" t="s">
        <v>166</v>
      </c>
      <c r="D18" s="9" t="s">
        <v>167</v>
      </c>
      <c r="E18" s="9" t="s">
        <v>2</v>
      </c>
      <c r="F18" s="8" t="s">
        <v>168</v>
      </c>
    </row>
    <row r="19" customFormat="false" ht="29.85" hidden="false" customHeight="false" outlineLevel="0" collapsed="false">
      <c r="A19" s="8" t="s">
        <v>28</v>
      </c>
      <c r="B19" s="9" t="s">
        <v>114</v>
      </c>
      <c r="C19" s="8" t="s">
        <v>169</v>
      </c>
      <c r="D19" s="9" t="s">
        <v>170</v>
      </c>
      <c r="E19" s="9" t="s">
        <v>2</v>
      </c>
      <c r="F19" s="8" t="s">
        <v>171</v>
      </c>
    </row>
    <row r="20" customFormat="false" ht="29.85" hidden="false" customHeight="false" outlineLevel="0" collapsed="false">
      <c r="A20" s="8" t="s">
        <v>28</v>
      </c>
      <c r="B20" s="9" t="s">
        <v>114</v>
      </c>
      <c r="C20" s="8" t="s">
        <v>172</v>
      </c>
      <c r="D20" s="9" t="s">
        <v>173</v>
      </c>
      <c r="E20" s="9" t="s">
        <v>2</v>
      </c>
      <c r="F20" s="8" t="s">
        <v>174</v>
      </c>
    </row>
    <row r="21" customFormat="false" ht="29.85" hidden="false" customHeight="false" outlineLevel="0" collapsed="false">
      <c r="A21" s="8" t="s">
        <v>28</v>
      </c>
      <c r="B21" s="9" t="s">
        <v>114</v>
      </c>
      <c r="C21" s="8" t="s">
        <v>175</v>
      </c>
      <c r="D21" s="9" t="s">
        <v>176</v>
      </c>
      <c r="E21" s="9" t="s">
        <v>2</v>
      </c>
      <c r="F21" s="8" t="s">
        <v>177</v>
      </c>
    </row>
    <row r="22" customFormat="false" ht="58.2" hidden="false" customHeight="false" outlineLevel="0" collapsed="false">
      <c r="A22" s="8" t="s">
        <v>28</v>
      </c>
      <c r="B22" s="9" t="s">
        <v>178</v>
      </c>
      <c r="C22" s="9" t="s">
        <v>179</v>
      </c>
      <c r="D22" s="9" t="s">
        <v>180</v>
      </c>
      <c r="E22" s="9" t="s">
        <v>121</v>
      </c>
      <c r="F22" s="8" t="s">
        <v>177</v>
      </c>
    </row>
    <row r="23" customFormat="false" ht="44" hidden="false" customHeight="false" outlineLevel="0" collapsed="false">
      <c r="A23" s="8" t="s">
        <v>28</v>
      </c>
      <c r="B23" s="9" t="s">
        <v>114</v>
      </c>
      <c r="C23" s="8" t="s">
        <v>181</v>
      </c>
      <c r="D23" s="8" t="s">
        <v>182</v>
      </c>
      <c r="E23" s="9" t="s">
        <v>2</v>
      </c>
      <c r="F23" s="8" t="s">
        <v>183</v>
      </c>
    </row>
    <row r="24" customFormat="false" ht="29.85" hidden="false" customHeight="false" outlineLevel="0" collapsed="false">
      <c r="A24" s="8" t="s">
        <v>28</v>
      </c>
      <c r="B24" s="9" t="s">
        <v>184</v>
      </c>
      <c r="C24" s="8" t="s">
        <v>185</v>
      </c>
      <c r="D24" s="9" t="s">
        <v>186</v>
      </c>
      <c r="E24" s="8"/>
      <c r="F24" s="8"/>
    </row>
    <row r="25" customFormat="false" ht="44" hidden="false" customHeight="false" outlineLevel="0" collapsed="false">
      <c r="A25" s="8" t="s">
        <v>28</v>
      </c>
      <c r="B25" s="9" t="s">
        <v>114</v>
      </c>
      <c r="C25" s="8" t="s">
        <v>187</v>
      </c>
      <c r="D25" s="9" t="s">
        <v>188</v>
      </c>
      <c r="E25" s="9" t="s">
        <v>2</v>
      </c>
      <c r="F25" s="8" t="s">
        <v>189</v>
      </c>
    </row>
    <row r="26" customFormat="false" ht="44" hidden="false" customHeight="false" outlineLevel="0" collapsed="false">
      <c r="A26" s="8" t="s">
        <v>28</v>
      </c>
      <c r="B26" s="9" t="s">
        <v>114</v>
      </c>
      <c r="C26" s="8" t="s">
        <v>190</v>
      </c>
      <c r="D26" s="9" t="s">
        <v>191</v>
      </c>
      <c r="E26" s="9" t="s">
        <v>2</v>
      </c>
      <c r="F26" s="8" t="s">
        <v>192</v>
      </c>
    </row>
    <row r="27" customFormat="false" ht="29.85" hidden="false" customHeight="false" outlineLevel="0" collapsed="false">
      <c r="A27" s="8" t="s">
        <v>28</v>
      </c>
      <c r="B27" s="9" t="s">
        <v>114</v>
      </c>
      <c r="C27" s="8" t="s">
        <v>193</v>
      </c>
      <c r="D27" s="9" t="s">
        <v>194</v>
      </c>
      <c r="E27" s="9" t="s">
        <v>2</v>
      </c>
      <c r="F27" s="8" t="s">
        <v>195</v>
      </c>
    </row>
    <row r="28" customFormat="false" ht="58.2" hidden="false" customHeight="false" outlineLevel="0" collapsed="false">
      <c r="A28" s="8" t="s">
        <v>28</v>
      </c>
      <c r="B28" s="9" t="s">
        <v>114</v>
      </c>
      <c r="C28" s="8" t="s">
        <v>196</v>
      </c>
      <c r="D28" s="9" t="s">
        <v>197</v>
      </c>
      <c r="E28" s="9" t="s">
        <v>198</v>
      </c>
      <c r="F28" s="8" t="s">
        <v>199</v>
      </c>
    </row>
    <row r="29" customFormat="false" ht="44" hidden="false" customHeight="false" outlineLevel="0" collapsed="false">
      <c r="A29" s="8" t="s">
        <v>28</v>
      </c>
      <c r="B29" s="9" t="s">
        <v>114</v>
      </c>
      <c r="C29" s="8" t="s">
        <v>200</v>
      </c>
      <c r="D29" s="9" t="s">
        <v>201</v>
      </c>
      <c r="E29" s="9" t="s">
        <v>2</v>
      </c>
      <c r="F29" s="8" t="s">
        <v>202</v>
      </c>
    </row>
    <row r="30" customFormat="false" ht="29.85" hidden="false" customHeight="false" outlineLevel="0" collapsed="false">
      <c r="A30" s="8" t="s">
        <v>28</v>
      </c>
      <c r="B30" s="9" t="s">
        <v>184</v>
      </c>
      <c r="C30" s="8" t="s">
        <v>203</v>
      </c>
      <c r="D30" s="9" t="s">
        <v>204</v>
      </c>
      <c r="E30" s="8"/>
      <c r="F30" s="8"/>
    </row>
    <row r="31" customFormat="false" ht="29.85" hidden="false" customHeight="false" outlineLevel="0" collapsed="false">
      <c r="A31" s="8" t="s">
        <v>28</v>
      </c>
      <c r="B31" s="9" t="s">
        <v>114</v>
      </c>
      <c r="C31" s="8" t="s">
        <v>205</v>
      </c>
      <c r="D31" s="9" t="s">
        <v>206</v>
      </c>
      <c r="E31" s="9" t="s">
        <v>2</v>
      </c>
      <c r="F31" s="8" t="s">
        <v>207</v>
      </c>
    </row>
    <row r="32" customFormat="false" ht="58.2" hidden="false" customHeight="false" outlineLevel="0" collapsed="false">
      <c r="A32" s="8" t="s">
        <v>28</v>
      </c>
      <c r="B32" s="9" t="s">
        <v>114</v>
      </c>
      <c r="C32" s="8" t="s">
        <v>208</v>
      </c>
      <c r="D32" s="9" t="s">
        <v>209</v>
      </c>
      <c r="E32" s="9" t="s">
        <v>2</v>
      </c>
      <c r="F32" s="8" t="s">
        <v>210</v>
      </c>
    </row>
    <row r="33" customFormat="false" ht="44" hidden="false" customHeight="false" outlineLevel="0" collapsed="false">
      <c r="A33" s="8" t="s">
        <v>28</v>
      </c>
      <c r="B33" s="9" t="s">
        <v>178</v>
      </c>
      <c r="C33" s="8" t="s">
        <v>211</v>
      </c>
      <c r="D33" s="9" t="s">
        <v>212</v>
      </c>
      <c r="E33" s="9" t="s">
        <v>121</v>
      </c>
      <c r="F33" s="8" t="s">
        <v>210</v>
      </c>
    </row>
    <row r="34" customFormat="false" ht="29.85" hidden="false" customHeight="false" outlineLevel="0" collapsed="false">
      <c r="A34" s="8" t="s">
        <v>28</v>
      </c>
      <c r="B34" s="9" t="s">
        <v>184</v>
      </c>
      <c r="C34" s="8" t="s">
        <v>213</v>
      </c>
      <c r="D34" s="8" t="s">
        <v>214</v>
      </c>
      <c r="E34" s="8"/>
      <c r="F34" s="8"/>
    </row>
    <row r="35" customFormat="false" ht="44" hidden="false" customHeight="false" outlineLevel="0" collapsed="false">
      <c r="A35" s="8" t="s">
        <v>28</v>
      </c>
      <c r="B35" s="9" t="s">
        <v>114</v>
      </c>
      <c r="C35" s="8" t="s">
        <v>215</v>
      </c>
      <c r="D35" s="8" t="s">
        <v>216</v>
      </c>
      <c r="E35" s="9" t="s">
        <v>2</v>
      </c>
      <c r="F35" s="8" t="s">
        <v>217</v>
      </c>
    </row>
    <row r="36" customFormat="false" ht="29.85" hidden="false" customHeight="false" outlineLevel="0" collapsed="false">
      <c r="A36" s="8" t="s">
        <v>28</v>
      </c>
      <c r="B36" s="9" t="s">
        <v>131</v>
      </c>
      <c r="C36" s="9" t="s">
        <v>218</v>
      </c>
      <c r="D36" s="8" t="s">
        <v>219</v>
      </c>
      <c r="E36" s="9" t="s">
        <v>2</v>
      </c>
      <c r="F36" s="8"/>
    </row>
    <row r="37" customFormat="false" ht="58.2" hidden="false" customHeight="false" outlineLevel="0" collapsed="false">
      <c r="A37" s="8" t="s">
        <v>28</v>
      </c>
      <c r="B37" s="9" t="s">
        <v>114</v>
      </c>
      <c r="C37" s="9" t="s">
        <v>220</v>
      </c>
      <c r="D37" s="9" t="s">
        <v>221</v>
      </c>
      <c r="E37" s="9" t="s">
        <v>222</v>
      </c>
      <c r="F37" s="8" t="s">
        <v>223</v>
      </c>
    </row>
    <row r="38" customFormat="false" ht="44" hidden="false" customHeight="false" outlineLevel="0" collapsed="false">
      <c r="A38" s="8" t="s">
        <v>28</v>
      </c>
      <c r="B38" s="9" t="s">
        <v>114</v>
      </c>
      <c r="C38" s="9" t="s">
        <v>224</v>
      </c>
      <c r="D38" s="9" t="s">
        <v>225</v>
      </c>
      <c r="E38" s="9" t="s">
        <v>226</v>
      </c>
      <c r="F38" s="8"/>
    </row>
    <row r="39" customFormat="false" ht="29.85" hidden="false" customHeight="false" outlineLevel="0" collapsed="false">
      <c r="A39" s="8" t="s">
        <v>28</v>
      </c>
      <c r="B39" s="9" t="s">
        <v>227</v>
      </c>
      <c r="C39" s="9" t="s">
        <v>228</v>
      </c>
      <c r="D39" s="9" t="s">
        <v>229</v>
      </c>
      <c r="E39" s="9" t="s">
        <v>121</v>
      </c>
      <c r="F39" s="8"/>
    </row>
    <row r="40" customFormat="false" ht="44" hidden="false" customHeight="false" outlineLevel="0" collapsed="false">
      <c r="A40" s="8" t="s">
        <v>28</v>
      </c>
      <c r="B40" s="9" t="s">
        <v>142</v>
      </c>
      <c r="C40" s="9" t="s">
        <v>230</v>
      </c>
      <c r="D40" s="8" t="s">
        <v>231</v>
      </c>
      <c r="E40" s="9" t="s">
        <v>232</v>
      </c>
      <c r="F40" s="8"/>
    </row>
    <row r="41" customFormat="false" ht="44" hidden="false" customHeight="false" outlineLevel="0" collapsed="false">
      <c r="A41" s="8" t="s">
        <v>28</v>
      </c>
      <c r="B41" s="9" t="s">
        <v>114</v>
      </c>
      <c r="C41" s="9" t="s">
        <v>233</v>
      </c>
      <c r="D41" s="9" t="s">
        <v>234</v>
      </c>
      <c r="E41" s="9" t="s">
        <v>235</v>
      </c>
      <c r="F41" s="8"/>
    </row>
    <row r="42" customFormat="false" ht="58.2" hidden="false" customHeight="false" outlineLevel="0" collapsed="false">
      <c r="A42" s="8" t="s">
        <v>28</v>
      </c>
      <c r="B42" s="9" t="s">
        <v>114</v>
      </c>
      <c r="C42" s="9" t="s">
        <v>236</v>
      </c>
      <c r="D42" s="9" t="s">
        <v>237</v>
      </c>
      <c r="E42" s="9" t="s">
        <v>238</v>
      </c>
      <c r="F42" s="8"/>
    </row>
    <row r="43" customFormat="false" ht="58.2" hidden="false" customHeight="false" outlineLevel="0" collapsed="false">
      <c r="A43" s="8" t="s">
        <v>28</v>
      </c>
      <c r="B43" s="9" t="s">
        <v>114</v>
      </c>
      <c r="C43" s="9" t="s">
        <v>239</v>
      </c>
      <c r="D43" s="9" t="s">
        <v>240</v>
      </c>
      <c r="E43" s="9" t="s">
        <v>241</v>
      </c>
      <c r="F43" s="8"/>
    </row>
    <row r="44" customFormat="false" ht="29.85" hidden="false" customHeight="false" outlineLevel="0" collapsed="false">
      <c r="A44" s="8" t="s">
        <v>28</v>
      </c>
      <c r="B44" s="9" t="s">
        <v>184</v>
      </c>
      <c r="C44" s="8" t="s">
        <v>242</v>
      </c>
      <c r="D44" s="8" t="s">
        <v>243</v>
      </c>
      <c r="E44" s="9" t="s">
        <v>184</v>
      </c>
      <c r="F44" s="8"/>
    </row>
    <row r="45" customFormat="false" ht="72.35" hidden="false" customHeight="false" outlineLevel="0" collapsed="false">
      <c r="A45" s="8" t="s">
        <v>28</v>
      </c>
      <c r="B45" s="9" t="s">
        <v>114</v>
      </c>
      <c r="C45" s="9" t="s">
        <v>244</v>
      </c>
      <c r="D45" s="9" t="s">
        <v>245</v>
      </c>
      <c r="E45" s="9" t="s">
        <v>246</v>
      </c>
      <c r="F45" s="8"/>
    </row>
    <row r="46" customFormat="false" ht="15" hidden="false" customHeight="false" outlineLevel="0" collapsed="false">
      <c r="A46" s="8" t="s">
        <v>28</v>
      </c>
      <c r="B46" s="9" t="s">
        <v>227</v>
      </c>
      <c r="C46" s="9" t="s">
        <v>247</v>
      </c>
      <c r="D46" s="9" t="s">
        <v>248</v>
      </c>
      <c r="E46" s="9" t="s">
        <v>121</v>
      </c>
      <c r="F46" s="8"/>
    </row>
    <row r="47" customFormat="false" ht="44" hidden="false" customHeight="false" outlineLevel="0" collapsed="false">
      <c r="A47" s="8" t="s">
        <v>28</v>
      </c>
      <c r="B47" s="9" t="s">
        <v>114</v>
      </c>
      <c r="C47" s="9" t="s">
        <v>249</v>
      </c>
      <c r="D47" s="9" t="s">
        <v>250</v>
      </c>
      <c r="E47" s="9" t="s">
        <v>251</v>
      </c>
      <c r="F47" s="8"/>
    </row>
    <row r="48" customFormat="false" ht="44" hidden="false" customHeight="false" outlineLevel="0" collapsed="false">
      <c r="A48" s="8" t="s">
        <v>28</v>
      </c>
      <c r="B48" s="9" t="s">
        <v>114</v>
      </c>
      <c r="C48" s="9" t="s">
        <v>252</v>
      </c>
      <c r="D48" s="9" t="s">
        <v>253</v>
      </c>
      <c r="E48" s="9" t="s">
        <v>254</v>
      </c>
      <c r="F48" s="8"/>
    </row>
    <row r="49" customFormat="false" ht="58.2" hidden="false" customHeight="false" outlineLevel="0" collapsed="false">
      <c r="A49" s="8" t="s">
        <v>28</v>
      </c>
      <c r="B49" s="9" t="s">
        <v>114</v>
      </c>
      <c r="C49" s="9" t="s">
        <v>255</v>
      </c>
      <c r="D49" s="9" t="s">
        <v>256</v>
      </c>
      <c r="E49" s="9" t="s">
        <v>257</v>
      </c>
      <c r="F49" s="8"/>
    </row>
    <row r="50" customFormat="false" ht="44" hidden="false" customHeight="false" outlineLevel="0" collapsed="false">
      <c r="A50" s="8" t="s">
        <v>28</v>
      </c>
      <c r="B50" s="9" t="s">
        <v>184</v>
      </c>
      <c r="C50" s="8" t="s">
        <v>258</v>
      </c>
      <c r="D50" s="9" t="s">
        <v>259</v>
      </c>
      <c r="E50" s="9" t="s">
        <v>184</v>
      </c>
      <c r="F50" s="8"/>
    </row>
    <row r="51" customFormat="false" ht="44" hidden="false" customHeight="false" outlineLevel="0" collapsed="false">
      <c r="A51" s="8" t="s">
        <v>28</v>
      </c>
      <c r="B51" s="9" t="s">
        <v>227</v>
      </c>
      <c r="C51" s="9" t="s">
        <v>260</v>
      </c>
      <c r="D51" s="9" t="s">
        <v>261</v>
      </c>
      <c r="E51" s="9" t="s">
        <v>262</v>
      </c>
      <c r="F51" s="8"/>
    </row>
    <row r="52" customFormat="false" ht="29.85" hidden="false" customHeight="false" outlineLevel="0" collapsed="false">
      <c r="A52" s="8" t="s">
        <v>28</v>
      </c>
      <c r="B52" s="9" t="s">
        <v>227</v>
      </c>
      <c r="C52" s="9" t="s">
        <v>263</v>
      </c>
      <c r="D52" s="9" t="s">
        <v>264</v>
      </c>
      <c r="E52" s="9" t="s">
        <v>121</v>
      </c>
      <c r="F52" s="8"/>
    </row>
    <row r="53" customFormat="false" ht="58.2" hidden="false" customHeight="false" outlineLevel="0" collapsed="false">
      <c r="A53" s="8" t="s">
        <v>28</v>
      </c>
      <c r="B53" s="9" t="s">
        <v>114</v>
      </c>
      <c r="C53" s="9" t="s">
        <v>265</v>
      </c>
      <c r="D53" s="8" t="s">
        <v>266</v>
      </c>
      <c r="E53" s="9" t="s">
        <v>267</v>
      </c>
      <c r="F53" s="8"/>
    </row>
    <row r="54" customFormat="false" ht="58.2" hidden="false" customHeight="false" outlineLevel="0" collapsed="false">
      <c r="A54" s="8" t="s">
        <v>28</v>
      </c>
      <c r="B54" s="9" t="s">
        <v>114</v>
      </c>
      <c r="C54" s="9" t="s">
        <v>268</v>
      </c>
      <c r="D54" s="9" t="s">
        <v>269</v>
      </c>
      <c r="E54" s="9" t="s">
        <v>270</v>
      </c>
      <c r="F54" s="8"/>
    </row>
    <row r="55" customFormat="false" ht="58.2" hidden="false" customHeight="false" outlineLevel="0" collapsed="false">
      <c r="A55" s="8" t="s">
        <v>28</v>
      </c>
      <c r="B55" s="9" t="s">
        <v>114</v>
      </c>
      <c r="C55" s="9" t="s">
        <v>271</v>
      </c>
      <c r="D55" s="9" t="s">
        <v>272</v>
      </c>
      <c r="E55" s="9" t="s">
        <v>2</v>
      </c>
      <c r="F55" s="8"/>
    </row>
    <row r="56" customFormat="false" ht="58.2" hidden="false" customHeight="false" outlineLevel="0" collapsed="false">
      <c r="A56" s="8" t="s">
        <v>28</v>
      </c>
      <c r="B56" s="9" t="s">
        <v>114</v>
      </c>
      <c r="C56" s="9" t="s">
        <v>273</v>
      </c>
      <c r="D56" s="9" t="s">
        <v>274</v>
      </c>
      <c r="E56" s="9" t="s">
        <v>275</v>
      </c>
      <c r="F56" s="8"/>
    </row>
    <row r="57" customFormat="false" ht="44" hidden="false" customHeight="false" outlineLevel="0" collapsed="false">
      <c r="A57" s="8" t="s">
        <v>28</v>
      </c>
      <c r="B57" s="9" t="s">
        <v>114</v>
      </c>
      <c r="C57" s="9" t="s">
        <v>276</v>
      </c>
      <c r="D57" s="9" t="s">
        <v>277</v>
      </c>
      <c r="E57" s="9" t="s">
        <v>2</v>
      </c>
      <c r="F57" s="8"/>
    </row>
    <row r="58" customFormat="false" ht="29.85" hidden="false" customHeight="false" outlineLevel="0" collapsed="false">
      <c r="A58" s="8" t="s">
        <v>28</v>
      </c>
      <c r="B58" s="9" t="s">
        <v>131</v>
      </c>
      <c r="C58" s="9" t="s">
        <v>278</v>
      </c>
      <c r="D58" s="8" t="s">
        <v>279</v>
      </c>
      <c r="E58" s="9" t="s">
        <v>280</v>
      </c>
      <c r="F58" s="8"/>
    </row>
    <row r="59" customFormat="false" ht="44" hidden="false" customHeight="false" outlineLevel="0" collapsed="false">
      <c r="A59" s="8" t="s">
        <v>28</v>
      </c>
      <c r="B59" s="9" t="s">
        <v>114</v>
      </c>
      <c r="C59" s="9" t="s">
        <v>281</v>
      </c>
      <c r="D59" s="9" t="s">
        <v>282</v>
      </c>
      <c r="E59" s="9" t="s">
        <v>283</v>
      </c>
      <c r="F59" s="8"/>
    </row>
    <row r="60" customFormat="false" ht="44" hidden="false" customHeight="false" outlineLevel="0" collapsed="false">
      <c r="A60" s="8" t="s">
        <v>28</v>
      </c>
      <c r="B60" s="9" t="s">
        <v>114</v>
      </c>
      <c r="C60" s="9" t="s">
        <v>284</v>
      </c>
      <c r="D60" s="9" t="s">
        <v>285</v>
      </c>
      <c r="E60" s="9" t="s">
        <v>286</v>
      </c>
      <c r="F60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8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7" t="s">
        <v>108</v>
      </c>
      <c r="B1" s="7" t="s">
        <v>287</v>
      </c>
      <c r="C1" s="7" t="s">
        <v>160</v>
      </c>
      <c r="D1" s="7" t="s">
        <v>288</v>
      </c>
      <c r="E1" s="7" t="s">
        <v>289</v>
      </c>
    </row>
    <row r="2" customFormat="false" ht="15" hidden="false" customHeight="false" outlineLevel="0" collapsed="false">
      <c r="A2" s="8" t="s">
        <v>113</v>
      </c>
      <c r="B2" s="8" t="n">
        <v>50</v>
      </c>
      <c r="C2" s="8" t="n">
        <v>50</v>
      </c>
      <c r="D2" s="10" t="n">
        <f aca="false">IFERROR(C2/B2,0)</f>
        <v>1</v>
      </c>
      <c r="E2" s="9" t="s">
        <v>290</v>
      </c>
    </row>
    <row r="3" customFormat="false" ht="15" hidden="false" customHeight="false" outlineLevel="0" collapsed="false">
      <c r="A3" s="8" t="s">
        <v>28</v>
      </c>
      <c r="B3" s="8" t="n">
        <v>51</v>
      </c>
      <c r="C3" s="8" t="n">
        <v>51</v>
      </c>
      <c r="D3" s="10" t="n">
        <f aca="false">IFERROR(C3/B3,0)</f>
        <v>1</v>
      </c>
      <c r="E3" s="9" t="s">
        <v>291</v>
      </c>
    </row>
    <row r="4" customFormat="false" ht="15" hidden="false" customHeight="false" outlineLevel="0" collapsed="false">
      <c r="A4" s="8" t="s">
        <v>28</v>
      </c>
      <c r="B4" s="8" t="n">
        <v>54</v>
      </c>
      <c r="C4" s="8" t="n">
        <v>54</v>
      </c>
      <c r="D4" s="10" t="n">
        <f aca="false">IFERROR(C4/B4,0)</f>
        <v>1</v>
      </c>
      <c r="E4" s="9" t="s">
        <v>292</v>
      </c>
    </row>
    <row r="5" customFormat="false" ht="15" hidden="false" customHeight="false" outlineLevel="0" collapsed="false">
      <c r="A5" s="8" t="s">
        <v>28</v>
      </c>
      <c r="B5" s="8" t="n">
        <v>58</v>
      </c>
      <c r="C5" s="8" t="n">
        <v>58</v>
      </c>
      <c r="D5" s="10" t="n">
        <f aca="false">IFERROR(C5/B5,0)</f>
        <v>1</v>
      </c>
      <c r="E5" s="9" t="s">
        <v>293</v>
      </c>
    </row>
    <row r="6" customFormat="false" ht="15" hidden="false" customHeight="false" outlineLevel="0" collapsed="false">
      <c r="A6" s="8" t="s">
        <v>28</v>
      </c>
      <c r="B6" s="8" t="n">
        <v>59</v>
      </c>
      <c r="C6" s="8" t="n">
        <v>59</v>
      </c>
      <c r="D6" s="10" t="n">
        <f aca="false">IFERROR(C6/B6,0)</f>
        <v>1</v>
      </c>
      <c r="E6" s="9" t="s">
        <v>294</v>
      </c>
    </row>
    <row r="7" customFormat="false" ht="15" hidden="false" customHeight="false" outlineLevel="0" collapsed="false">
      <c r="A7" s="8" t="s">
        <v>28</v>
      </c>
      <c r="B7" s="8" t="n">
        <v>60</v>
      </c>
      <c r="C7" s="8" t="n">
        <v>60</v>
      </c>
      <c r="D7" s="10" t="n">
        <f aca="false">IFERROR(C7/B7,0)</f>
        <v>1</v>
      </c>
      <c r="E7" s="9" t="s">
        <v>295</v>
      </c>
    </row>
    <row r="8" customFormat="false" ht="15" hidden="false" customHeight="false" outlineLevel="0" collapsed="false">
      <c r="A8" s="8" t="s">
        <v>28</v>
      </c>
      <c r="B8" s="8" t="n">
        <v>61</v>
      </c>
      <c r="C8" s="8" t="n">
        <v>61</v>
      </c>
      <c r="D8" s="10" t="n">
        <f aca="false">IFERROR(C8/B8,0)</f>
        <v>1</v>
      </c>
      <c r="E8" s="9" t="s">
        <v>296</v>
      </c>
    </row>
    <row r="9" customFormat="false" ht="15" hidden="false" customHeight="false" outlineLevel="0" collapsed="false">
      <c r="A9" s="8" t="s">
        <v>28</v>
      </c>
      <c r="B9" s="8" t="n">
        <v>62</v>
      </c>
      <c r="C9" s="8" t="n">
        <v>62</v>
      </c>
      <c r="D9" s="10" t="n">
        <f aca="false">IFERROR(C9/B9,0)</f>
        <v>1</v>
      </c>
      <c r="E9" s="9" t="s">
        <v>297</v>
      </c>
    </row>
    <row r="10" customFormat="false" ht="15" hidden="false" customHeight="false" outlineLevel="0" collapsed="false">
      <c r="A10" s="8" t="s">
        <v>28</v>
      </c>
      <c r="B10" s="8" t="n">
        <v>67</v>
      </c>
      <c r="C10" s="8" t="n">
        <v>67</v>
      </c>
      <c r="D10" s="10" t="n">
        <f aca="false">IFERROR(C10/B10,0)</f>
        <v>1</v>
      </c>
      <c r="E10" s="9" t="s">
        <v>298</v>
      </c>
    </row>
    <row r="11" customFormat="false" ht="15" hidden="false" customHeight="false" outlineLevel="0" collapsed="false">
      <c r="A11" s="8" t="s">
        <v>28</v>
      </c>
      <c r="B11" s="8" t="n">
        <v>70</v>
      </c>
      <c r="C11" s="8" t="n">
        <v>70</v>
      </c>
      <c r="D11" s="10" t="n">
        <f aca="false">IFERROR(C11/B11,0)</f>
        <v>1</v>
      </c>
      <c r="E11" s="9" t="s">
        <v>299</v>
      </c>
    </row>
    <row r="12" customFormat="false" ht="15" hidden="false" customHeight="false" outlineLevel="0" collapsed="false">
      <c r="A12" s="8" t="s">
        <v>28</v>
      </c>
      <c r="B12" s="8" t="n">
        <v>72</v>
      </c>
      <c r="C12" s="8" t="n">
        <v>72</v>
      </c>
      <c r="D12" s="10" t="n">
        <f aca="false">IFERROR(C12/B12,0)</f>
        <v>1</v>
      </c>
      <c r="E12" s="9" t="s">
        <v>300</v>
      </c>
    </row>
    <row r="13" customFormat="false" ht="15" hidden="false" customHeight="false" outlineLevel="0" collapsed="false">
      <c r="A13" s="8" t="s">
        <v>28</v>
      </c>
      <c r="B13" s="8" t="n">
        <v>74</v>
      </c>
      <c r="C13" s="8" t="n">
        <v>74</v>
      </c>
      <c r="D13" s="10" t="n">
        <f aca="false">IFERROR(C13/B13,0)</f>
        <v>1</v>
      </c>
      <c r="E13" s="9" t="s">
        <v>301</v>
      </c>
    </row>
    <row r="14" customFormat="false" ht="15" hidden="false" customHeight="false" outlineLevel="0" collapsed="false">
      <c r="A14" s="8" t="s">
        <v>28</v>
      </c>
      <c r="B14" s="8" t="n">
        <v>76</v>
      </c>
      <c r="C14" s="8" t="n">
        <v>76</v>
      </c>
      <c r="D14" s="10" t="n">
        <f aca="false">IFERROR(C14/B14,0)</f>
        <v>1</v>
      </c>
      <c r="E14" s="9" t="s">
        <v>302</v>
      </c>
    </row>
    <row r="15" customFormat="false" ht="15" hidden="false" customHeight="false" outlineLevel="0" collapsed="false">
      <c r="A15" s="8" t="s">
        <v>28</v>
      </c>
      <c r="B15" s="8" t="n">
        <v>78</v>
      </c>
      <c r="C15" s="8" t="n">
        <v>78</v>
      </c>
      <c r="D15" s="10" t="n">
        <f aca="false">IFERROR(C15/B15,0)</f>
        <v>1</v>
      </c>
      <c r="E15" s="9" t="s">
        <v>303</v>
      </c>
    </row>
    <row r="16" customFormat="false" ht="15" hidden="false" customHeight="false" outlineLevel="0" collapsed="false">
      <c r="A16" s="8" t="s">
        <v>28</v>
      </c>
      <c r="B16" s="8" t="n">
        <v>80</v>
      </c>
      <c r="C16" s="8" t="n">
        <v>80</v>
      </c>
      <c r="D16" s="10" t="n">
        <f aca="false">IFERROR(C16/B16,0)</f>
        <v>1</v>
      </c>
      <c r="E16" s="9" t="s">
        <v>304</v>
      </c>
    </row>
    <row r="17" customFormat="false" ht="15" hidden="false" customHeight="false" outlineLevel="0" collapsed="false">
      <c r="A17" s="8" t="s">
        <v>28</v>
      </c>
      <c r="B17" s="8" t="n">
        <v>81</v>
      </c>
      <c r="C17" s="8" t="n">
        <v>81</v>
      </c>
      <c r="D17" s="10" t="n">
        <f aca="false">IFERROR(C17/B17,0)</f>
        <v>1</v>
      </c>
      <c r="E17" s="9" t="s">
        <v>305</v>
      </c>
    </row>
    <row r="18" customFormat="false" ht="15" hidden="false" customHeight="false" outlineLevel="0" collapsed="false">
      <c r="A18" s="8" t="s">
        <v>28</v>
      </c>
      <c r="B18" s="8" t="n">
        <v>83</v>
      </c>
      <c r="C18" s="8" t="n">
        <v>83</v>
      </c>
      <c r="D18" s="10" t="n">
        <f aca="false">IFERROR(C18/B18,0)</f>
        <v>1</v>
      </c>
      <c r="E18" s="9" t="s">
        <v>306</v>
      </c>
    </row>
    <row r="19" customFormat="false" ht="15" hidden="false" customHeight="false" outlineLevel="0" collapsed="false">
      <c r="A19" s="8" t="s">
        <v>28</v>
      </c>
      <c r="B19" s="8" t="n">
        <v>85</v>
      </c>
      <c r="C19" s="8" t="n">
        <v>85</v>
      </c>
      <c r="D19" s="10" t="n">
        <f aca="false">IFERROR(C19/B19,0)</f>
        <v>1</v>
      </c>
      <c r="E19" s="9" t="s">
        <v>307</v>
      </c>
    </row>
    <row r="20" customFormat="false" ht="15" hidden="false" customHeight="false" outlineLevel="0" collapsed="false">
      <c r="A20" s="8" t="s">
        <v>28</v>
      </c>
      <c r="B20" s="8" t="n">
        <v>87</v>
      </c>
      <c r="C20" s="8" t="n">
        <v>87</v>
      </c>
      <c r="D20" s="10" t="n">
        <f aca="false">IFERROR(C20/B20,0)</f>
        <v>1</v>
      </c>
      <c r="E20" s="9" t="s">
        <v>308</v>
      </c>
    </row>
    <row r="21" customFormat="false" ht="15" hidden="false" customHeight="false" outlineLevel="0" collapsed="false">
      <c r="A21" s="8" t="s">
        <v>28</v>
      </c>
      <c r="B21" s="8" t="n">
        <v>89</v>
      </c>
      <c r="C21" s="8" t="n">
        <v>89</v>
      </c>
      <c r="D21" s="10" t="n">
        <f aca="false">IFERROR(C21/B21,0)</f>
        <v>1</v>
      </c>
      <c r="E21" s="9" t="s">
        <v>309</v>
      </c>
    </row>
    <row r="22" customFormat="false" ht="15" hidden="false" customHeight="false" outlineLevel="0" collapsed="false">
      <c r="A22" s="8" t="s">
        <v>28</v>
      </c>
      <c r="B22" s="8" t="n">
        <v>91</v>
      </c>
      <c r="C22" s="8" t="n">
        <v>91</v>
      </c>
      <c r="D22" s="10" t="n">
        <f aca="false">IFERROR(C22/B22,0)</f>
        <v>1</v>
      </c>
      <c r="E22" s="9" t="s">
        <v>310</v>
      </c>
    </row>
    <row r="23" customFormat="false" ht="15" hidden="false" customHeight="false" outlineLevel="0" collapsed="false">
      <c r="A23" s="8" t="s">
        <v>28</v>
      </c>
      <c r="B23" s="8" t="n">
        <v>92</v>
      </c>
      <c r="C23" s="8" t="n">
        <v>92</v>
      </c>
      <c r="D23" s="10" t="n">
        <f aca="false">IFERROR(C23/B23,0)</f>
        <v>1</v>
      </c>
      <c r="E23" s="9" t="s">
        <v>311</v>
      </c>
    </row>
    <row r="24" customFormat="false" ht="15" hidden="false" customHeight="false" outlineLevel="0" collapsed="false">
      <c r="A24" s="8" t="s">
        <v>28</v>
      </c>
      <c r="B24" s="8" t="n">
        <v>94</v>
      </c>
      <c r="C24" s="8" t="n">
        <v>94</v>
      </c>
      <c r="D24" s="10" t="n">
        <f aca="false">IFERROR(C24/B24,0)</f>
        <v>1</v>
      </c>
      <c r="E24" s="9" t="s">
        <v>312</v>
      </c>
    </row>
    <row r="25" customFormat="false" ht="15" hidden="false" customHeight="false" outlineLevel="0" collapsed="false">
      <c r="A25" s="8" t="s">
        <v>28</v>
      </c>
      <c r="B25" s="8" t="n">
        <v>96</v>
      </c>
      <c r="C25" s="8" t="n">
        <v>96</v>
      </c>
      <c r="D25" s="10" t="n">
        <f aca="false">IFERROR(C25/B25,0)</f>
        <v>1</v>
      </c>
      <c r="E25" s="9" t="s">
        <v>313</v>
      </c>
    </row>
    <row r="26" customFormat="false" ht="15" hidden="false" customHeight="false" outlineLevel="0" collapsed="false">
      <c r="A26" s="8" t="s">
        <v>28</v>
      </c>
      <c r="B26" s="8" t="n">
        <v>98</v>
      </c>
      <c r="C26" s="8" t="n">
        <v>98</v>
      </c>
      <c r="D26" s="10" t="n">
        <f aca="false">IFERROR(C26/B26,0)</f>
        <v>1</v>
      </c>
      <c r="E26" s="8" t="s">
        <v>314</v>
      </c>
    </row>
    <row r="27" customFormat="false" ht="15" hidden="false" customHeight="false" outlineLevel="0" collapsed="false">
      <c r="A27" s="8" t="s">
        <v>28</v>
      </c>
      <c r="B27" s="8" t="n">
        <v>99</v>
      </c>
      <c r="C27" s="8" t="n">
        <v>99</v>
      </c>
      <c r="D27" s="10" t="n">
        <f aca="false">IFERROR(C27/B27,0)</f>
        <v>1</v>
      </c>
      <c r="E27" s="8" t="s">
        <v>315</v>
      </c>
    </row>
    <row r="28" customFormat="false" ht="15" hidden="false" customHeight="false" outlineLevel="0" collapsed="false">
      <c r="A28" s="8" t="s">
        <v>28</v>
      </c>
      <c r="B28" s="8" t="n">
        <v>101</v>
      </c>
      <c r="C28" s="8" t="n">
        <v>101</v>
      </c>
      <c r="D28" s="10" t="n">
        <f aca="false">IFERROR(C28/B28,0)</f>
        <v>1</v>
      </c>
      <c r="E28" s="9" t="s">
        <v>316</v>
      </c>
    </row>
    <row r="29" customFormat="false" ht="15" hidden="false" customHeight="false" outlineLevel="0" collapsed="false">
      <c r="A29" s="8" t="s">
        <v>28</v>
      </c>
      <c r="B29" s="8" t="n">
        <v>103</v>
      </c>
      <c r="C29" s="8" t="n">
        <v>103</v>
      </c>
      <c r="D29" s="10" t="n">
        <f aca="false">IFERROR(C29/B29,0)</f>
        <v>1</v>
      </c>
      <c r="E29" s="9" t="s">
        <v>317</v>
      </c>
    </row>
    <row r="30" customFormat="false" ht="15" hidden="false" customHeight="false" outlineLevel="0" collapsed="false">
      <c r="A30" s="8" t="s">
        <v>28</v>
      </c>
      <c r="B30" s="8" t="n">
        <v>105</v>
      </c>
      <c r="C30" s="8" t="n">
        <v>105</v>
      </c>
      <c r="D30" s="10" t="n">
        <f aca="false">IFERROR(C30/B30,0)</f>
        <v>1</v>
      </c>
      <c r="E30" s="9" t="s">
        <v>318</v>
      </c>
    </row>
    <row r="31" customFormat="false" ht="15" hidden="false" customHeight="false" outlineLevel="0" collapsed="false">
      <c r="A31" s="8" t="s">
        <v>28</v>
      </c>
      <c r="B31" s="8" t="n">
        <v>106</v>
      </c>
      <c r="C31" s="8" t="n">
        <v>106</v>
      </c>
      <c r="D31" s="10" t="n">
        <f aca="false">IFERROR(C31/B31,0)</f>
        <v>1</v>
      </c>
      <c r="E31" s="9" t="s">
        <v>319</v>
      </c>
    </row>
    <row r="32" customFormat="false" ht="15" hidden="false" customHeight="false" outlineLevel="0" collapsed="false">
      <c r="A32" s="8" t="s">
        <v>28</v>
      </c>
      <c r="B32" s="8" t="n">
        <v>106</v>
      </c>
      <c r="C32" s="8" t="n">
        <v>106</v>
      </c>
      <c r="D32" s="10" t="n">
        <f aca="false">IFERROR(C32/B32,0)</f>
        <v>1</v>
      </c>
      <c r="E32" s="9" t="s">
        <v>320</v>
      </c>
    </row>
    <row r="33" customFormat="false" ht="15" hidden="false" customHeight="false" outlineLevel="0" collapsed="false">
      <c r="A33" s="8" t="s">
        <v>28</v>
      </c>
      <c r="B33" s="8" t="n">
        <v>107</v>
      </c>
      <c r="C33" s="8" t="n">
        <v>107</v>
      </c>
      <c r="D33" s="10" t="n">
        <f aca="false">IFERROR(C33/B33,0)</f>
        <v>1</v>
      </c>
      <c r="E33" s="9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2026-10-28T15:15:09Z</dcterms:created>
  <dc:creator>openpyxl</dc:creator>
  <dc:description/>
  <dc:language>en-US</dc:language>
  <cp:lastModifiedBy/>
  <dcterms:modified xsi:type="dcterms:W3CDTF">2026-10-28T15:15:09Z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