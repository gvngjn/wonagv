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<sst xmlns="http://schemas.openxmlformats.org/spreadsheetml/2006/main" count="646" uniqueCount="337">
  <si>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</si>
  <si>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</si>
  <si>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</si>
  <si>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</si>
  <si>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</si>
  <si>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</si>
  <si>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</si>
  <si>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</si>
  <si>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</si>
  <si>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</si>
  <si>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</si>
  <si>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</si>
  <si>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</si>
  <si>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</si>
  <si>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</si>
  <si>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</si>
  <si>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</si>
  <si>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</si>
  <si>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</si>
  <si>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</si>
  <si>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</si>
  <si>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</si>
  <si>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</si>
  <si>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</si>
  <si>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</si>
  <si>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</si>
  <si>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</si>
  <si>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</si>
  <si>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</si>
  <si>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</si>
  <si>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</si>
  <si>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</si>
  <si>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</si>
  <si>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</si>
  <si>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</si>
  <si>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</si>
  <si>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</si>
  <si>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</si>
  <si>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</si>
  <si>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</si>
  <si>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</si>
  <si>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</si>
  <si>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</si>
  <si>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</si>
  <si>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</si>
  <si>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</si>
  <si>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</si>
  <si>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</si>
  <si>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</si>
  <si>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</si>
  <si>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</si>
  <si>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</si>
  <si>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</si>
  <si>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</si>
  <si>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</si>
  <si>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</si>
  <si>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</si>
  <si>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</si>
  <si>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</si>
  <si>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</si>
  <si>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</si>
  <si>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</si>
  <si>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</si>
  <si>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</si>
  <si>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</si>
  <si>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</si>
  <si>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r>
      <rPr>
        <sz val="10"/>
        <color rgb="FF000000"/>
        <rFont val="Noto Sans CJK SC"/>
        <family val="2"/>
      </rPr>
      <t xml:space="preserve">오류 기록 파일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예상 못한 오류 안내 창</t>
    </r>
  </si>
  <si>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생긴 문제를 원인까지 추적할 방법이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지금은 메시지 한 줄뿐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</si>
  <si>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초로 영상 길이 정하기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클립마다 한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노래도 거기서 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</si>
  <si>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</t>
    </r>
    <r>
      <rPr>
        <sz val="10"/>
        <color rgb="FF000000"/>
        <rFont val="Arial"/>
        <family val="0"/>
        <charset val="1"/>
      </rPr>
      <t xml:space="preserve">: 8</t>
    </r>
    <r>
      <rPr>
        <sz val="10"/>
        <color rgb="FF000000"/>
        <rFont val="Noto Sans CJK SC"/>
        <family val="2"/>
      </rPr>
      <t xml:space="preserve">개 영상을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초씩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끝나야 함</t>
    </r>
  </si>
  <si>
    <r>
      <rPr>
        <sz val="10"/>
        <color rgb="FF000000"/>
        <rFont val="Noto Sans CJK SC"/>
        <family val="2"/>
      </rPr>
      <t xml:space="preserve">대규모 프로젝트 스트레스 테스트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수백 개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Noto Sans CJK SC"/>
        <family val="2"/>
      </rPr>
      <t xml:space="preserve">분 영상</t>
    </r>
    <r>
      <rPr>
        <sz val="10"/>
        <color rgb="FF000000"/>
        <rFont val="Arial"/>
        <family val="0"/>
        <charset val="1"/>
      </rPr>
      <t xml:space="preserve">)</t>
    </r>
  </si>
  <si>
    <t xml:space="preserve">실제 사용은 테스트보다 훨씬 길고 컷이 많음</t>
  </si>
  <si>
    <r>
      <rPr>
        <sz val="10"/>
        <color rgb="FF000000"/>
        <rFont val="Noto Sans CJK SC"/>
        <family val="2"/>
      </rPr>
      <t xml:space="preserve">단축키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스페이스 재생</t>
    </r>
    <r>
      <rPr>
        <sz val="10"/>
        <color rgb="FF000000"/>
        <rFont val="Arial"/>
        <family val="0"/>
        <charset val="1"/>
      </rPr>
      <t xml:space="preserve">, Delete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)</t>
    </r>
  </si>
  <si>
    <t xml:space="preserve">자주 하는 동작을 마우스 없이</t>
  </si>
  <si>
    <r>
      <rPr>
        <sz val="10"/>
        <color rgb="FF000000"/>
        <rFont val="Noto Sans CJK SC"/>
        <family val="2"/>
      </rPr>
      <t xml:space="preserve">사진 켄 번즈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천천히 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</si>
  <si>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t xml:space="preserve">사진이 멈춰 있으면 영상이 밋밋함</t>
  </si>
  <si>
    <r>
      <rPr>
        <sz val="10"/>
        <color rgb="FF000000"/>
        <rFont val="Noto Sans CJK SC"/>
        <family val="2"/>
      </rPr>
      <t xml:space="preserve">말소리 나올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</si>
  <si>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t xml:space="preserve">브이로그에서 음악에 말소리가 묻힘</t>
  </si>
  <si>
    <r>
      <rPr>
        <sz val="10"/>
        <color rgb="FF000000"/>
        <rFont val="Noto Sans CJK SC"/>
        <family val="2"/>
      </rPr>
      <t xml:space="preserve">색감 필터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</si>
  <si>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여러 폰으로 찍은 영상의 색감 통일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분위기</t>
    </r>
  </si>
  <si>
    <r>
      <rPr>
        <sz val="10"/>
        <color rgb="FF000000"/>
        <rFont val="Noto Sans CJK SC"/>
        <family val="2"/>
      </rPr>
      <t xml:space="preserve">그래픽카드 인코딩 </t>
    </r>
    <r>
      <rPr>
        <sz val="10"/>
        <color rgb="FF000000"/>
        <rFont val="Arial"/>
        <family val="0"/>
        <charset val="1"/>
      </rPr>
      <t xml:space="preserve">(NVIDIA·Intel·AMD) </t>
    </r>
    <r>
      <rPr>
        <sz val="10"/>
        <color rgb="FF000000"/>
        <rFont val="Noto Sans CJK SC"/>
        <family val="2"/>
      </rPr>
      <t xml:space="preserve">자동 사용</t>
    </r>
  </si>
  <si>
    <r>
      <rPr>
        <sz val="10"/>
        <color rgb="FF000000"/>
        <rFont val="Noto Sans CJK SC"/>
        <family val="2"/>
      </rPr>
      <t xml:space="preserve">내보내기가 가장 오래 걸리는 단계 — 그래픽카드가 있는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체감 속도가 크게 좋아짐</t>
    </r>
  </si>
  <si>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한 번에 둘 다 내보내기</t>
    </r>
  </si>
  <si>
    <t xml:space="preserve">같은 영상을 비율만 바꿔 두 번 올리는 경우가 많음 — 설정 바꾸고 다시 내보내는 반복을 줄임</t>
  </si>
  <si>
    <r>
      <rPr>
        <sz val="10"/>
        <color rgb="FF000000"/>
        <rFont val="Noto Sans CJK SC"/>
        <family val="2"/>
      </rPr>
      <t xml:space="preserve">대표 이미지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저장</t>
    </r>
  </si>
  <si>
    <t xml:space="preserve">유튜브 업로드에 필요 — 미리보기에서 원하는 장면을 바로 이미지로</t>
  </si>
  <si>
    <r>
      <rPr>
        <sz val="10"/>
        <color rgb="FF000000"/>
        <rFont val="Noto Sans CJK SC"/>
        <family val="2"/>
      </rPr>
      <t xml:space="preserve">자막 등장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페이드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</si>
  <si>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릴스 자막에서 흔한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완성도 향상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</si>
  <si>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 색 바램 고치기</t>
    </r>
  </si>
  <si>
    <r>
      <rPr>
        <sz val="10"/>
        <color rgb="FF000000"/>
        <rFont val="Noto Sans CJK SC"/>
        <family val="2"/>
      </rPr>
      <t xml:space="preserve">아이폰은 기본이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촬영 → 여행 영상 대부분이 회색으로 바래서 나옴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결과물 오류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</si>
  <si>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아이폰 사진</t>
    </r>
    <r>
      <rPr>
        <sz val="10"/>
        <color rgb="FF000000"/>
        <rFont val="Arial"/>
        <family val="0"/>
        <charset val="1"/>
      </rPr>
      <t xml:space="preserve">(HEIC) </t>
    </r>
    <r>
      <rPr>
        <sz val="10"/>
        <color rgb="FF000000"/>
        <rFont val="Noto Sans CJK SC"/>
        <family val="2"/>
      </rPr>
      <t xml:space="preserve">지원</t>
    </r>
  </si>
  <si>
    <t xml:space="preserve">아이폰 사진 기본 형식 — 여행 사진을 그대로 넣을 수 있어야 함</t>
  </si>
  <si>
    <r>
      <rPr>
        <sz val="10"/>
        <color rgb="FF000000"/>
        <rFont val="Noto Sans CJK SC"/>
        <family val="2"/>
      </rPr>
      <t xml:space="preserve">폴더 통째로 추가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찍은 날짜순 정렬</t>
    </r>
  </si>
  <si>
    <r>
      <rPr>
        <sz val="10"/>
        <color rgb="FF000000"/>
        <rFont val="Noto Sans CJK SC"/>
        <family val="2"/>
      </rPr>
      <t xml:space="preserve">여행 영상은 수십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Noto Sans CJK SC"/>
        <family val="2"/>
      </rPr>
      <t xml:space="preserve">수백 개 — 하나씩 고르기 힘들고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여행 순서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가 기본 흐름</t>
    </r>
  </si>
  <si>
    <r>
      <rPr>
        <sz val="10"/>
        <color rgb="FF000000"/>
        <rFont val="Noto Sans CJK SC"/>
        <family val="2"/>
      </rPr>
      <t xml:space="preserve">릴스 안전 영역 표시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위치 자동 회피</t>
    </r>
  </si>
  <si>
    <r>
      <rPr>
        <sz val="10"/>
        <color rgb="FF000000"/>
        <rFont val="Noto Sans CJK SC"/>
        <family val="2"/>
      </rPr>
      <t xml:space="preserve">릴스는 아래쪽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버튼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오른쪽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좋아요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화면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Noto Sans CJK SC"/>
        <family val="2"/>
      </rPr>
      <t xml:space="preserve">가 가림 — 자막이 가려지면 안 됨</t>
    </r>
  </si>
  <si>
    <r>
      <rPr>
        <sz val="10"/>
        <color rgb="FF000000"/>
        <rFont val="Noto Sans CJK SC"/>
        <family val="2"/>
      </rPr>
      <t xml:space="preserve">설정 템플릿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불러오기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다음 여행에 그대로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</si>
  <si>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다른 여행도 같은 스타일로 만들 계획 — 음악 빼고 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설정 재사용</t>
    </r>
  </si>
  <si>
    <r>
      <rPr>
        <sz val="10"/>
        <color rgb="FF000000"/>
        <rFont val="Noto Sans CJK SC"/>
        <family val="2"/>
      </rPr>
      <t xml:space="preserve">음악 없이 내보내기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인스타 앱에서 같은 노래 붙이기</t>
    </r>
    <r>
      <rPr>
        <sz val="10"/>
        <color rgb="FF000000"/>
        <rFont val="Arial"/>
        <family val="0"/>
        <charset val="1"/>
      </rPr>
      <t xml:space="preserve">)</t>
    </r>
  </si>
  <si>
    <t xml:space="preserve">저작권 음악은 인스타에서 음소거될 수 있음 — 비트 컷은 유지하고 소리만 빼서 앱 음악 기능 사용</t>
  </si>
  <si>
    <t xml:space="preserve">찍은 날짜 정보가 없으면 물어보기</t>
  </si>
  <si>
    <r>
      <rPr>
        <sz val="10"/>
        <color rgb="FF000000"/>
        <rFont val="Noto Sans CJK SC"/>
        <family val="2"/>
      </rPr>
      <t xml:space="preserve">사용자 제안 — 메신저로 받은 사진은 날짜가 지워져 날짜순이 틀어짐</t>
    </r>
    <r>
      <rPr>
        <sz val="10"/>
        <color rgb="FF000000"/>
        <rFont val="Arial"/>
        <family val="0"/>
        <charset val="1"/>
      </rPr>
      <t xml:space="preserve">, 1</t>
    </r>
    <r>
      <rPr>
        <sz val="10"/>
        <color rgb="FF000000"/>
        <rFont val="Noto Sans CJK SC"/>
        <family val="2"/>
      </rPr>
      <t xml:space="preserve">년 </t>
    </r>
    <r>
      <rPr>
        <sz val="10"/>
        <color rgb="FF000000"/>
        <rFont val="Arial"/>
        <family val="0"/>
        <charset val="1"/>
      </rPr>
      <t xml:space="preserve">recap</t>
    </r>
    <r>
      <rPr>
        <sz val="10"/>
        <color rgb="FF000000"/>
        <rFont val="Noto Sans CJK SC"/>
        <family val="2"/>
      </rPr>
      <t xml:space="preserve">에서 특히 중요</t>
    </r>
  </si>
  <si>
    <r>
      <rPr>
        <sz val="10"/>
        <color rgb="FF000000"/>
        <rFont val="Noto Sans CJK SC"/>
        <family val="2"/>
      </rPr>
      <t xml:space="preserve">클립마다 날짜 도장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2026.03.14)</t>
    </r>
  </si>
  <si>
    <r>
      <rPr>
        <sz val="10"/>
        <color rgb="FF000000"/>
        <rFont val="Arial"/>
        <family val="0"/>
        <charset val="1"/>
      </rPr>
      <t xml:space="preserve">recap </t>
    </r>
    <r>
      <rPr>
        <sz val="10"/>
        <color rgb="FF000000"/>
        <rFont val="Noto Sans CJK SC"/>
        <family val="2"/>
      </rPr>
      <t xml:space="preserve">릴스의 대표 연출 — 언제 장면인지 보여 줌</t>
    </r>
  </si>
  <si>
    <r>
      <rPr>
        <sz val="10"/>
        <color rgb="FF000000"/>
        <rFont val="Noto Sans CJK SC"/>
        <family val="2"/>
      </rPr>
      <t xml:space="preserve">월별 제목 자동 만들기 </t>
    </r>
    <r>
      <rPr>
        <sz val="10"/>
        <color rgb="FF000000"/>
        <rFont val="Arial"/>
        <family val="0"/>
        <charset val="1"/>
      </rPr>
      <t xml:space="preserve">(JANUARY, FEBRUARY …)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</si>
  <si>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년치 영상의 구간 나누기를 손으로 하면 오래 걸림</t>
    </r>
  </si>
  <si>
    <r>
      <rPr>
        <sz val="10"/>
        <color rgb="FF000000"/>
        <rFont val="Noto Sans CJK SC"/>
        <family val="2"/>
      </rPr>
      <t xml:space="preserve">폴더 추가 때 날짜 범위로 고르기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2026</t>
    </r>
    <r>
      <rPr>
        <sz val="10"/>
        <color rgb="FF000000"/>
        <rFont val="Noto Sans CJK SC"/>
        <family val="2"/>
      </rPr>
      <t xml:space="preserve">년만</t>
    </r>
    <r>
      <rPr>
        <sz val="10"/>
        <color rgb="FF000000"/>
        <rFont val="Arial"/>
        <family val="0"/>
        <charset val="1"/>
      </rPr>
      <t xml:space="preserve">)</t>
    </r>
  </si>
  <si>
    <t xml:space="preserve">카메라 앨범 폴더엔 다른 해 사진도 섞여 있음</t>
  </si>
  <si>
    <r>
      <rPr>
        <sz val="10"/>
        <color rgb="FF000000"/>
        <rFont val="Noto Sans CJK SC"/>
        <family val="2"/>
      </rPr>
      <t xml:space="preserve">클립마다 비트 수 따로 </t>
    </r>
    <r>
      <rPr>
        <sz val="10"/>
        <color rgb="FF000000"/>
        <rFont val="Arial"/>
        <family val="0"/>
        <charset val="1"/>
      </rPr>
      <t xml:space="preserve">(1</t>
    </r>
    <r>
      <rPr>
        <sz val="10"/>
        <color rgb="FF000000"/>
        <rFont val="Noto Sans CJK SC"/>
        <family val="2"/>
      </rPr>
      <t xml:space="preserve">비트</t>
    </r>
    <r>
      <rPr>
        <sz val="10"/>
        <color rgb="FF000000"/>
        <rFont val="Arial"/>
        <family val="0"/>
        <charset val="1"/>
      </rPr>
      <t xml:space="preserve">·2</t>
    </r>
    <r>
      <rPr>
        <sz val="10"/>
        <color rgb="FF000000"/>
        <rFont val="Noto Sans CJK SC"/>
        <family val="2"/>
      </rPr>
      <t xml:space="preserve">비트 …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</si>
  <si>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 — 어떤 장면은 짧게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어떤 장면은 길게</t>
    </r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</si>
  <si>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</si>
  <si>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</si>
  <si>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</si>
  <si>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</si>
  <si>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</si>
  <si>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</si>
  <si>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</si>
  <si>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</si>
  <si>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</si>
  <si>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</si>
  <si>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</si>
  <si>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</si>
  <si>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</si>
  <si>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</si>
  <si>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</si>
  <si>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</si>
  <si>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</si>
  <si>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</si>
  <si>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</si>
  <si>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</si>
  <si>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</si>
  <si>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</si>
  <si>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</si>
  <si>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</si>
  <si>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</si>
  <si>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</si>
  <si>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</si>
  <si>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</si>
  <si>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</si>
  <si>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</si>
  <si>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</si>
  <si>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</si>
  <si>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</si>
  <si>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</si>
  <si>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</si>
  <si>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</si>
  <si>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</si>
  <si>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</si>
  <si>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</si>
  <si>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</si>
  <si>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</si>
  <si>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</si>
  <si>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</si>
  <si>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</si>
  <si>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</si>
  <si>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</si>
  <si>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</si>
  <si>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</si>
  <si>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</si>
  <si>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</si>
  <si>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</si>
  <si>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</si>
  <si>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</si>
  <si>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</si>
  <si>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</si>
  <si>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</si>
  <si>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</si>
  <si>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</si>
  <si>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</si>
  <si>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</si>
  <si>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</si>
  <si>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</si>
  <si>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</si>
  <si>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</si>
  <si>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</si>
  <si>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</si>
  <si>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</si>
  <si>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</si>
  <si>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</si>
  <si>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</si>
  <si>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</si>
  <si>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</si>
  <si>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</si>
  <si>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</si>
  <si>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</si>
  <si>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</si>
  <si>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</si>
  <si>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</si>
  <si>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</si>
  <si>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</si>
  <si>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</si>
  <si>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</si>
  <si>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</si>
  <si>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</si>
  <si>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</si>
  <si>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</si>
  <si>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</si>
  <si>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</si>
  <si>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</si>
  <si>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</si>
  <si>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</si>
  <si>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</si>
  <si>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</si>
  <si>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</si>
  <si>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</si>
  <si>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</si>
  <si>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</si>
  <si>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</si>
  <si>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</si>
  <si>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</si>
  <si>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</si>
  <si>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</si>
  <si>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</si>
  <si>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</si>
  <si>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</si>
  <si>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(19~24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</si>
  <si>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Arial"/>
        <family val="0"/>
        <charset val="1"/>
      </rPr>
      <t xml:space="preserve">15·16</t>
    </r>
    <r>
      <rPr>
        <sz val="10"/>
        <color rgb="FF000000"/>
        <rFont val="Noto Sans CJK SC"/>
        <family val="2"/>
      </rPr>
      <t xml:space="preserve">순위는 사용자 확인 대기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같은 기준으로 진단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오류 기록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대규모 안정성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켄 번즈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필터 순</t>
    </r>
  </si>
  <si>
    <r>
      <rPr>
        <sz val="10"/>
        <color rgb="FF000000"/>
        <rFont val="Arial"/>
        <family val="0"/>
        <charset val="1"/>
      </rPr>
      <t xml:space="preserve">[19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오류 기록 파일</t>
    </r>
  </si>
  <si>
    <r>
      <rPr>
        <sz val="10"/>
        <color rgb="FF000000"/>
        <rFont val="Arial"/>
        <family val="0"/>
        <charset val="1"/>
      </rPr>
      <t xml:space="preserve">%LOCALAPPDATA%\ReelCut\logs\reelcut.log</t>
    </r>
    <r>
      <rPr>
        <sz val="10"/>
        <color rgb="FF000000"/>
        <rFont val="Noto Sans CJK SC"/>
        <family val="2"/>
      </rPr>
      <t xml:space="preserve">에 시작 정보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작업 실패 상세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파이썬 추적</t>
    </r>
    <r>
      <rPr>
        <sz val="10"/>
        <color rgb="FF000000"/>
        <rFont val="Arial"/>
        <family val="0"/>
        <charset val="1"/>
      </rPr>
      <t xml:space="preserve">), ffmpeg </t>
    </r>
    <r>
      <rPr>
        <sz val="10"/>
        <color rgb="FF000000"/>
        <rFont val="Noto Sans CJK SC"/>
        <family val="2"/>
      </rPr>
      <t xml:space="preserve">실패 명령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줄을 기록</t>
    </r>
    <r>
      <rPr>
        <sz val="10"/>
        <color rgb="FF000000"/>
        <rFont val="Arial"/>
        <family val="0"/>
        <charset val="1"/>
      </rPr>
      <t xml:space="preserve">(1MB×3</t>
    </r>
    <r>
      <rPr>
        <sz val="10"/>
        <color rgb="FF000000"/>
        <rFont val="Noto Sans CJK SC"/>
        <family val="2"/>
      </rPr>
      <t xml:space="preserve">개 순환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예상 못한 오류는 안내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작업은 자동 저장됨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기록 위치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도움말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오류 기록 폴더 열기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</si>
  <si>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</si>
  <si>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클립 개수에 맞춰 노래 끊기 요청</t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</si>
  <si>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 제각각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초마다 끊어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노래가 끝나야 함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순위로 바로 진행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</si>
  <si>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영상 길이</t>
    </r>
  </si>
  <si>
    <r>
      <rPr>
        <sz val="10"/>
        <color rgb="FF000000"/>
        <rFont val="Noto Sans CJK SC"/>
        <family val="2"/>
      </rPr>
      <t xml:space="preserve">자르는 기준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비트마다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일정한 초마다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영상 길이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클립마다 한 컷씩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 순서 또는 무작위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영상 모두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정보 줄에 완성 길이와 경고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음악이 짧음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컷보다 짧은 클립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</si>
  <si>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= 0:20.0,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20.0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타임라인 조각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</t>
    </r>
  </si>
  <si>
    <t xml:space="preserve">5b7fb40</t>
  </si>
  <si>
    <t xml:space="preserve">단축키</t>
  </si>
  <si>
    <r>
      <rPr>
        <sz val="10"/>
        <color rgb="FF000000"/>
        <rFont val="Noto Sans CJK SC"/>
        <family val="2"/>
      </rPr>
      <t xml:space="preserve">재생 메뉴 추가</t>
    </r>
    <r>
      <rPr>
        <sz val="10"/>
        <color rgb="FF000000"/>
        <rFont val="Arial"/>
        <family val="0"/>
        <charset val="1"/>
      </rPr>
      <t xml:space="preserve">: Space 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일시정지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글자 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음악 게이지에서는 원래 동작</t>
    </r>
    <r>
      <rPr>
        <sz val="10"/>
        <color rgb="FF000000"/>
        <rFont val="Arial"/>
        <family val="0"/>
        <charset val="1"/>
      </rPr>
      <t xml:space="preserve">), Ctrl+←/→ 5</t>
    </r>
    <r>
      <rPr>
        <sz val="10"/>
        <color rgb="FF000000"/>
        <rFont val="Noto Sans CJK SC"/>
        <family val="2"/>
      </rPr>
      <t xml:space="preserve">초 이동</t>
    </r>
    <r>
      <rPr>
        <sz val="10"/>
        <color rgb="FF000000"/>
        <rFont val="Arial"/>
        <family val="0"/>
        <charset val="1"/>
      </rPr>
      <t xml:space="preserve">, F5·Ctrl+R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, Ctrl+E 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목록에서 </t>
    </r>
    <r>
      <rPr>
        <sz val="10"/>
        <color rgb="FF000000"/>
        <rFont val="Arial"/>
        <family val="0"/>
        <charset val="1"/>
      </rPr>
      <t xml:space="preserve">Delete</t>
    </r>
    <r>
      <rPr>
        <sz val="10"/>
        <color rgb="FF000000"/>
        <rFont val="Noto Sans CJK SC"/>
        <family val="2"/>
      </rPr>
      <t xml:space="preserve">로 지우기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작업 중에는 단축키로 렌더링이 겹쳐 시작되지 않게 막음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</si>
  <si>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키 동작 확인</t>
    </r>
  </si>
  <si>
    <t xml:space="preserve">버그 수정</t>
  </si>
  <si>
    <r>
      <rPr>
        <sz val="10"/>
        <color rgb="FF000000"/>
        <rFont val="Noto Sans CJK SC"/>
        <family val="2"/>
      </rPr>
      <t xml:space="preserve">자막 줄 삭제가 실행 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저장에 안 잡힘</t>
    </r>
  </si>
  <si>
    <r>
      <rPr>
        <sz val="10"/>
        <color rgb="FF000000"/>
        <rFont val="Noto Sans CJK SC"/>
        <family val="2"/>
      </rPr>
      <t xml:space="preserve">자막 탭에서 줄을 지워도 변경 알림이 없어 실행 취소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타임라인 갱신이 빠졌음 → 변경 알림 추가</t>
    </r>
  </si>
  <si>
    <t xml:space="preserve">대규모 프로젝트 스트레스 테스트</t>
  </si>
  <si>
    <r>
      <rPr>
        <sz val="10"/>
        <color rgb="FF000000"/>
        <rFont val="Arial"/>
        <family val="0"/>
        <charset val="1"/>
      </rPr>
      <t xml:space="preserve">720p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+ 10</t>
    </r>
    <r>
      <rPr>
        <sz val="10"/>
        <color rgb="FF000000"/>
        <rFont val="Noto Sans CJK SC"/>
        <family val="2"/>
      </rPr>
      <t xml:space="preserve">분 음악</t>
    </r>
    <r>
      <rPr>
        <sz val="10"/>
        <color rgb="FF000000"/>
        <rFont val="Arial"/>
        <family val="0"/>
        <charset val="1"/>
      </rPr>
      <t xml:space="preserve">(128 BPM), 1</t>
    </r>
    <r>
      <rPr>
        <sz val="10"/>
        <color rgb="FF000000"/>
        <rFont val="Noto Sans CJK SC"/>
        <family val="2"/>
      </rPr>
      <t xml:space="preserve">비트마다 컷 → 조각 </t>
    </r>
    <r>
      <rPr>
        <sz val="10"/>
        <color rgb="FF000000"/>
        <rFont val="Arial"/>
        <family val="0"/>
        <charset val="1"/>
      </rPr>
      <t xml:space="preserve">1281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계획 </t>
    </r>
    <r>
      <rPr>
        <sz val="10"/>
        <color rgb="FF000000"/>
        <rFont val="Arial"/>
        <family val="0"/>
        <charset val="1"/>
      </rPr>
      <t xml:space="preserve">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렌더링 </t>
    </r>
    <r>
      <rPr>
        <sz val="10"/>
        <color rgb="FF000000"/>
        <rFont val="Arial"/>
        <family val="0"/>
        <charset val="1"/>
      </rPr>
      <t xml:space="preserve">520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작업과 동시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메모리 </t>
    </r>
    <r>
      <rPr>
        <sz val="10"/>
        <color rgb="FF000000"/>
        <rFont val="Arial"/>
        <family val="0"/>
        <charset val="1"/>
      </rPr>
      <t xml:space="preserve">178MB(</t>
    </r>
    <r>
      <rPr>
        <sz val="10"/>
        <color rgb="FF000000"/>
        <rFont val="Noto Sans CJK SC"/>
        <family val="2"/>
      </rPr>
      <t xml:space="preserve">앱</t>
    </r>
    <r>
      <rPr>
        <sz val="10"/>
        <color rgb="FF000000"/>
        <rFont val="Arial"/>
        <family val="0"/>
        <charset val="1"/>
      </rPr>
      <t xml:space="preserve">)·462MB(ffmpeg). 9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 이후에도 컷이 비트와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프레임 이내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중앙값 </t>
    </r>
    <r>
      <rPr>
        <sz val="10"/>
        <color rgb="FF000000"/>
        <rFont val="Arial"/>
        <family val="0"/>
        <charset val="1"/>
      </rPr>
      <t xml:space="preserve">0.7ms), </t>
    </r>
    <r>
      <rPr>
        <sz val="10"/>
        <color rgb="FF000000"/>
        <rFont val="Noto Sans CJK SC"/>
        <family val="2"/>
      </rPr>
      <t xml:space="preserve">끝부분 소리 어긋남 </t>
    </r>
    <r>
      <rPr>
        <sz val="10"/>
        <color rgb="FF000000"/>
        <rFont val="Arial"/>
        <family val="0"/>
        <charset val="1"/>
      </rPr>
      <t xml:space="preserve">±20ms </t>
    </r>
    <r>
      <rPr>
        <sz val="10"/>
        <color rgb="FF000000"/>
        <rFont val="Noto Sans CJK SC"/>
        <family val="2"/>
      </rPr>
      <t xml:space="preserve">이내</t>
    </r>
  </si>
  <si>
    <r>
      <rPr>
        <sz val="10"/>
        <color rgb="FF000000"/>
        <rFont val="Noto Sans CJK SC"/>
        <family val="2"/>
      </rPr>
      <t xml:space="preserve">통과 </t>
    </r>
    <r>
      <rPr>
        <sz val="10"/>
        <color rgb="FF000000"/>
        <rFont val="Arial"/>
        <family val="0"/>
        <charset val="1"/>
      </rPr>
      <t xml:space="preserve">· 600.0</t>
    </r>
    <r>
      <rPr>
        <sz val="10"/>
        <color rgb="FF000000"/>
        <rFont val="Noto Sans CJK SC"/>
        <family val="2"/>
      </rPr>
      <t xml:space="preserve">초 정확</t>
    </r>
  </si>
  <si>
    <t xml:space="preserve">사진 켄 번즈 효과</t>
  </si>
  <si>
    <r>
      <rPr>
        <sz val="10"/>
        <color rgb="FF000000"/>
        <rFont val="Noto Sans CJK SC"/>
        <family val="2"/>
      </rPr>
      <t xml:space="preserve">클립마다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사진 움직임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자동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확대→오른쪽→축소→왼쪽 번갈아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기본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축소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좌우 이동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사진을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배로 한 번 키운 뒤 </t>
    </r>
    <r>
      <rPr>
        <sz val="10"/>
        <color rgb="FF000000"/>
        <rFont val="Arial"/>
        <family val="0"/>
        <charset val="1"/>
      </rPr>
      <t xml:space="preserve">zoompan</t>
    </r>
    <r>
      <rPr>
        <sz val="10"/>
        <color rgb="FF000000"/>
        <rFont val="Noto Sans CJK SC"/>
        <family val="2"/>
      </rPr>
      <t xml:space="preserve">으로 잘라내 떨림 없이 움직임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짧은 컷일수록 덜 움직임</t>
    </r>
    <r>
      <rPr>
        <sz val="10"/>
        <color rgb="FF000000"/>
        <rFont val="Arial"/>
        <family val="0"/>
        <charset val="1"/>
      </rPr>
      <t xml:space="preserve">(4%~15%). </t>
    </r>
    <r>
      <rPr>
        <sz val="10"/>
        <color rgb="FF000000"/>
        <rFont val="Noto Sans CJK SC"/>
        <family val="2"/>
      </rPr>
      <t xml:space="preserve">사진 렌더링 시간은 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(1080×1920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9.5→21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</si>
  <si>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</si>
  <si>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말할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</si>
  <si>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 탭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말할 때 음악 줄이기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줄이지 않음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약하게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보통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세게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작은 화면 소리를 섞어 </t>
    </r>
    <r>
      <rPr>
        <sz val="10"/>
        <color rgb="FF000000"/>
        <rFont val="Arial"/>
        <family val="0"/>
        <charset val="1"/>
      </rPr>
      <t xml:space="preserve">sidechaincompress</t>
    </r>
    <r>
      <rPr>
        <sz val="10"/>
        <color rgb="FF000000"/>
        <rFont val="Noto Sans CJK SC"/>
        <family val="2"/>
      </rPr>
      <t xml:space="preserve">로 음악을 누름</t>
    </r>
    <r>
      <rPr>
        <sz val="10"/>
        <color rgb="FF000000"/>
        <rFont val="Arial"/>
        <family val="0"/>
        <charset val="1"/>
      </rPr>
      <t xml:space="preserve">(120Hz </t>
    </r>
    <r>
      <rPr>
        <sz val="10"/>
        <color rgb="FF000000"/>
        <rFont val="Noto Sans CJK SC"/>
        <family val="2"/>
      </rPr>
      <t xml:space="preserve">아래 웅웅거림은 무시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실제 크기로 맞춰 보니 처음 값은 너무 약했음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5.6dB) → </t>
    </r>
    <r>
      <rPr>
        <sz val="10"/>
        <color rgb="FF000000"/>
        <rFont val="Noto Sans CJK SC"/>
        <family val="2"/>
      </rPr>
      <t xml:space="preserve">보통 말소리 기준 약 </t>
    </r>
    <r>
      <rPr>
        <sz val="10"/>
        <color rgb="FF000000"/>
        <rFont val="Arial"/>
        <family val="0"/>
        <charset val="1"/>
      </rPr>
      <t xml:space="preserve">9/13/18dB</t>
    </r>
    <r>
      <rPr>
        <sz val="10"/>
        <color rgb="FF000000"/>
        <rFont val="Noto Sans CJK SC"/>
        <family val="2"/>
      </rPr>
      <t xml:space="preserve">로 다시 맞춤</t>
    </r>
    <r>
      <rPr>
        <sz val="10"/>
        <color rgb="FF000000"/>
        <rFont val="Arial"/>
        <family val="0"/>
        <charset val="1"/>
      </rPr>
      <t xml:space="preserve">. -40dB </t>
    </r>
    <r>
      <rPr>
        <sz val="10"/>
        <color rgb="FF000000"/>
        <rFont val="Noto Sans CJK SC"/>
        <family val="2"/>
      </rPr>
      <t xml:space="preserve">아래 잡음에는 반응 안 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음악이 영상보다 짧을 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소리 섞을 때도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</si>
  <si>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8.8/13.0/17.4dB</t>
    </r>
  </si>
  <si>
    <t xml:space="preserve">색감 필터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</si>
  <si>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그대로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제목보다 먼저 적용해서 글자 색은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처음 </t>
    </r>
    <r>
      <rPr>
        <sz val="10"/>
        <color rgb="FF000000"/>
        <rFont val="Arial"/>
        <family val="0"/>
        <charset val="1"/>
      </rPr>
      <t xml:space="preserve">colorbalance </t>
    </r>
    <r>
      <rPr>
        <sz val="10"/>
        <color rgb="FF000000"/>
        <rFont val="Noto Sans CJK SC"/>
        <family val="2"/>
      </rPr>
      <t xml:space="preserve">값은 눈에 거의 안 띄어서 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차갑게는 </t>
    </r>
    <r>
      <rPr>
        <sz val="10"/>
        <color rgb="FF000000"/>
        <rFont val="Arial"/>
        <family val="0"/>
        <charset val="1"/>
      </rPr>
      <t xml:space="preserve">colortemperature(4500K/9000K)</t>
    </r>
    <r>
      <rPr>
        <sz val="10"/>
        <color rgb="FF000000"/>
        <rFont val="Noto Sans CJK SC"/>
        <family val="2"/>
      </rPr>
      <t xml:space="preserve">로 바꿈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</si>
  <si>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6</t>
    </r>
    <r>
      <rPr>
        <sz val="10"/>
        <color rgb="FF000000"/>
        <rFont val="Noto Sans CJK SC"/>
        <family val="2"/>
      </rPr>
      <t xml:space="preserve">가지 비교 이미지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모든 색감 실제 렌더링 테스트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</si>
  <si>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차 로드맵</t>
    </r>
  </si>
  <si>
    <r>
      <rPr>
        <sz val="10"/>
        <color rgb="FF000000"/>
        <rFont val="Arial"/>
        <family val="0"/>
        <charset val="1"/>
      </rPr>
      <t xml:space="preserve">20~25 </t>
    </r>
    <r>
      <rPr>
        <sz val="10"/>
        <color rgb="FF000000"/>
        <rFont val="Noto Sans CJK SC"/>
        <family val="2"/>
      </rPr>
      <t xml:space="preserve">완료 → </t>
    </r>
    <r>
      <rPr>
        <sz val="10"/>
        <color rgb="FF000000"/>
        <rFont val="Arial"/>
        <family val="0"/>
        <charset val="1"/>
      </rPr>
      <t xml:space="preserve">26 </t>
    </r>
    <r>
      <rPr>
        <sz val="10"/>
        <color rgb="FF000000"/>
        <rFont val="Noto Sans CJK SC"/>
        <family val="2"/>
      </rPr>
      <t xml:space="preserve">그래픽카드 인코딩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), 27 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동시 내보내기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반복 줄이기</t>
    </r>
    <r>
      <rPr>
        <sz val="10"/>
        <color rgb="FF000000"/>
        <rFont val="Arial"/>
        <family val="0"/>
        <charset val="1"/>
      </rPr>
      <t xml:space="preserve">), 28 </t>
    </r>
    <r>
      <rPr>
        <sz val="10"/>
        <color rgb="FF000000"/>
        <rFont val="Noto Sans CJK SC"/>
        <family val="2"/>
      </rPr>
      <t xml:space="preserve">썸네일 저장</t>
    </r>
    <r>
      <rPr>
        <sz val="10"/>
        <color rgb="FF000000"/>
        <rFont val="Arial"/>
        <family val="0"/>
        <charset val="1"/>
      </rPr>
      <t xml:space="preserve">, 29 </t>
    </r>
    <r>
      <rPr>
        <sz val="10"/>
        <color rgb="FF000000"/>
        <rFont val="Noto Sans CJK SC"/>
        <family val="2"/>
      </rPr>
      <t xml:space="preserve">자막 등장 효과</t>
    </r>
  </si>
  <si>
    <t xml:space="preserve">그래픽카드 인코딩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</si>
  <si>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그래픽카드로 빠르게</t>
    </r>
    <r>
      <rPr>
        <sz val="10"/>
        <color rgb="FF000000"/>
        <rFont val="Arial"/>
        <family val="0"/>
        <charset val="1"/>
      </rPr>
      <t xml:space="preserve">"(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): NVIDIA→Intel→AMD </t>
    </r>
    <r>
      <rPr>
        <sz val="10"/>
        <color rgb="FF000000"/>
        <rFont val="Noto Sans CJK SC"/>
        <family val="2"/>
      </rPr>
      <t xml:space="preserve">순으로 작은 영상을 실제 인코딩해 보고 되는 것 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한 번만 확인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최종 영상만 그래픽카드로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조각은 캐시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정확한 프레임 수 때문에 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실패하면 오류 기록 남기고 </t>
    </r>
    <r>
      <rPr>
        <sz val="10"/>
        <color rgb="FF000000"/>
        <rFont val="Arial"/>
        <family val="0"/>
        <charset val="1"/>
      </rPr>
      <t xml:space="preserve">CPU</t>
    </r>
    <r>
      <rPr>
        <sz val="10"/>
        <color rgb="FF000000"/>
        <rFont val="Noto Sans CJK SC"/>
        <family val="2"/>
      </rPr>
      <t xml:space="preserve">로 자동 재시도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이번 실행 동안 그 인코더는 다시 안 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완료 메시지에 사용한 그래픽카드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이 개발 환경엔 그래픽카드가 없어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흐름으로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</si>
  <si>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실제 그래픽카드 확인은 사용자 </t>
    </r>
    <r>
      <rPr>
        <sz val="10"/>
        <color rgb="FF000000"/>
        <rFont val="Arial"/>
        <family val="0"/>
        <charset val="1"/>
      </rPr>
      <t xml:space="preserve">PC </t>
    </r>
    <r>
      <rPr>
        <sz val="10"/>
        <color rgb="FF000000"/>
        <rFont val="Noto Sans CJK SC"/>
        <family val="2"/>
      </rPr>
      <t xml:space="preserve">필요</t>
    </r>
  </si>
  <si>
    <r>
      <rPr>
        <sz val="10"/>
        <color rgb="FF000000"/>
        <rFont val="Noto Sans CJK SC"/>
        <family val="2"/>
      </rPr>
      <t xml:space="preserve">클립 선택 전 속도 칸이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배로 보임</t>
    </r>
  </si>
  <si>
    <r>
      <rPr>
        <sz val="10"/>
        <color rgb="FF000000"/>
        <rFont val="Noto Sans CJK SC"/>
        <family val="2"/>
      </rPr>
      <t xml:space="preserve">클립을 고르기 전 비활성 속도 칸이 첫 항목</t>
    </r>
    <r>
      <rPr>
        <sz val="10"/>
        <color rgb="FF000000"/>
        <rFont val="Arial"/>
        <family val="0"/>
        <charset val="1"/>
      </rPr>
      <t xml:space="preserve">(0.25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으로 보여 헷갈림 → 기본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배로</t>
    </r>
  </si>
  <si>
    <t xml:space="preserve">여러 비율로 한 번에 내보내기</t>
  </si>
  <si>
    <r>
      <rPr>
        <sz val="10"/>
        <color rgb="FF000000"/>
        <rFont val="Noto Sans CJK SC"/>
        <family val="2"/>
      </rPr>
      <t xml:space="preserve">📐 버튼</t>
    </r>
    <r>
      <rPr>
        <sz val="10"/>
        <color rgb="FF000000"/>
        <rFont val="Arial"/>
        <family val="0"/>
        <charset val="1"/>
      </rPr>
      <t xml:space="preserve">·Ctrl+Shift+E: 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정사각형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인스타 피드 중 고르고 해상도 선택 → 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.mp4, </t>
    </r>
    <r>
      <rPr>
        <sz val="10"/>
        <color rgb="FF000000"/>
        <rFont val="Noto Sans CJK SC"/>
        <family val="2"/>
      </rPr>
      <t xml:space="preserve">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.mp4 … </t>
    </r>
    <r>
      <rPr>
        <sz val="10"/>
        <color rgb="FF000000"/>
        <rFont val="Noto Sans CJK SC"/>
        <family val="2"/>
      </rPr>
      <t xml:space="preserve">차례로 만듦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진행 표시에 </t>
    </r>
    <r>
      <rPr>
        <sz val="10"/>
        <color rgb="FF000000"/>
        <rFont val="Arial"/>
        <family val="0"/>
        <charset val="1"/>
      </rPr>
      <t xml:space="preserve">[2/3] </t>
    </r>
    <r>
      <rPr>
        <sz val="10"/>
        <color rgb="FF000000"/>
        <rFont val="Noto Sans CJK SC"/>
        <family val="2"/>
      </rPr>
      <t xml:space="preserve">파일 이름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취소하면 남은 것도 멈춤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실행 코드를 하나로 정리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</si>
  <si>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3</t>
    </r>
    <r>
      <rPr>
        <sz val="10"/>
        <color rgb="FF000000"/>
        <rFont val="Noto Sans CJK SC"/>
        <family val="2"/>
      </rPr>
      <t xml:space="preserve">개 비율 </t>
    </r>
    <r>
      <rPr>
        <sz val="10"/>
        <color rgb="FF000000"/>
        <rFont val="Arial"/>
        <family val="0"/>
        <charset val="1"/>
      </rPr>
      <t xml:space="preserve">720p 6.0</t>
    </r>
    <r>
      <rPr>
        <sz val="10"/>
        <color rgb="FF000000"/>
        <rFont val="Noto Sans CJK SC"/>
        <family val="2"/>
      </rPr>
      <t xml:space="preserve">초씩 정확</t>
    </r>
  </si>
  <si>
    <r>
      <rPr>
        <sz val="10"/>
        <color rgb="FF000000"/>
        <rFont val="Noto Sans CJK SC"/>
        <family val="2"/>
      </rPr>
      <t xml:space="preserve">장면을 이미지로 저장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</si>
  <si>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미리보기 옆 🖼 버튼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완성 미리보기를 보고 있으면 그 시간이 원본 어느 파일의 몇 초인지 계산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 반영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클립 원본을 보고 있으면 그 파일에서 바로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저화질 미리보기가 아니라 원본에서 내보내기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맞추기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그대로 </t>
    </r>
    <r>
      <rPr>
        <sz val="10"/>
        <color rgb="FF000000"/>
        <rFont val="Arial"/>
        <family val="0"/>
        <charset val="1"/>
      </rPr>
      <t xml:space="preserve">JPG/PNG </t>
    </r>
    <r>
      <rPr>
        <sz val="10"/>
        <color rgb="FF000000"/>
        <rFont val="Noto Sans CJK SC"/>
        <family val="2"/>
      </rPr>
      <t xml:space="preserve">저장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</si>
  <si>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1080×1920 </t>
    </r>
    <r>
      <rPr>
        <sz val="10"/>
        <color rgb="FF000000"/>
        <rFont val="Noto Sans CJK SC"/>
        <family val="2"/>
      </rPr>
      <t xml:space="preserve">저장 확인</t>
    </r>
  </si>
  <si>
    <t xml:space="preserve">자막 등장 효과</t>
  </si>
  <si>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등장 효과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스르륵 나타나기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(70%→112%→100%, 0.18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ffmpeg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SRT</t>
    </r>
    <r>
      <rPr>
        <sz val="10"/>
        <color rgb="FF000000"/>
        <rFont val="Noto Sans CJK SC"/>
        <family val="2"/>
      </rPr>
      <t xml:space="preserve">를 읽을 때 효과 태그를 지워 버려서</t>
    </r>
    <r>
      <rPr>
        <sz val="10"/>
        <color rgb="FF000000"/>
        <rFont val="Arial"/>
        <family val="0"/>
        <charset val="1"/>
      </rPr>
      <t xml:space="preserve">, SRT</t>
    </r>
    <r>
      <rPr>
        <sz val="10"/>
        <color rgb="FF000000"/>
        <rFont val="Noto Sans CJK SC"/>
        <family val="2"/>
      </rPr>
      <t xml:space="preserve">를 읽을 때와 똑같은 머리말</t>
    </r>
    <r>
      <rPr>
        <sz val="10"/>
        <color rgb="FF000000"/>
        <rFont val="Arial"/>
        <family val="0"/>
        <charset val="1"/>
      </rPr>
      <t xml:space="preserve">(384×288)</t>
    </r>
    <r>
      <rPr>
        <sz val="10"/>
        <color rgb="FF000000"/>
        <rFont val="Noto Sans CJK SC"/>
        <family val="2"/>
      </rPr>
      <t xml:space="preserve">의 </t>
    </r>
    <r>
      <rPr>
        <sz val="10"/>
        <color rgb="FF000000"/>
        <rFont val="Arial"/>
        <family val="0"/>
        <charset val="1"/>
      </rPr>
      <t xml:space="preserve">ASS </t>
    </r>
    <r>
      <rPr>
        <sz val="10"/>
        <color rgb="FF000000"/>
        <rFont val="Noto Sans CJK SC"/>
        <family val="2"/>
      </rPr>
      <t xml:space="preserve">파일로 만들어 입힘 → 효과가 끝난 뒤 화면은 효과 없을 때와 같음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 모두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자막 트랙 방식에선 꺼짐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</si>
  <si>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프레임별 확인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</si>
  <si>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일본 여행 릴스용으로 재정렬</t>
    </r>
  </si>
  <si>
    <r>
      <rPr>
        <sz val="10"/>
        <color rgb="FF000000"/>
        <rFont val="Noto Sans CJK SC"/>
        <family val="2"/>
      </rPr>
      <t xml:space="preserve">사용 목적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일본 여행 영상 모음 → 릴스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여행에도 재사용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에 맞춰 우선순위 재설정</t>
    </r>
    <r>
      <rPr>
        <sz val="10"/>
        <color rgb="FF000000"/>
        <rFont val="Arial"/>
        <family val="0"/>
        <charset val="1"/>
      </rPr>
      <t xml:space="preserve">: 30 </t>
    </r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, 31 HEIC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32 </t>
    </r>
    <r>
      <rPr>
        <sz val="10"/>
        <color rgb="FF000000"/>
        <rFont val="Noto Sans CJK SC"/>
        <family val="2"/>
      </rPr>
      <t xml:space="preserve">폴더 추가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, 33 </t>
    </r>
    <r>
      <rPr>
        <sz val="10"/>
        <color rgb="FF000000"/>
        <rFont val="Noto Sans CJK SC"/>
        <family val="2"/>
      </rPr>
      <t xml:space="preserve">릴스 안전 영역</t>
    </r>
    <r>
      <rPr>
        <sz val="10"/>
        <color rgb="FF000000"/>
        <rFont val="Arial"/>
        <family val="0"/>
        <charset val="1"/>
      </rPr>
      <t xml:space="preserve">, 34 </t>
    </r>
    <r>
      <rPr>
        <sz val="10"/>
        <color rgb="FF000000"/>
        <rFont val="Noto Sans CJK SC"/>
        <family val="2"/>
      </rPr>
      <t xml:space="preserve">설정 템플릿</t>
    </r>
    <r>
      <rPr>
        <sz val="10"/>
        <color rgb="FF000000"/>
        <rFont val="Arial"/>
        <family val="0"/>
        <charset val="1"/>
      </rPr>
      <t xml:space="preserve">, 35 </t>
    </r>
    <r>
      <rPr>
        <sz val="10"/>
        <color rgb="FF000000"/>
        <rFont val="Noto Sans CJK SC"/>
        <family val="2"/>
      </rPr>
      <t xml:space="preserve">음악 없이 내보내기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</si>
  <si>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영상이 회색으로 바램</t>
    </r>
  </si>
  <si>
    <r>
      <rPr>
        <sz val="10"/>
        <color rgb="FF000000"/>
        <rFont val="Noto Sans CJK SC"/>
        <family val="2"/>
      </rPr>
      <t xml:space="preserve">아이폰 기본 </t>
    </r>
    <r>
      <rPr>
        <sz val="10"/>
        <color rgb="FF000000"/>
        <rFont val="Arial"/>
        <family val="0"/>
        <charset val="1"/>
      </rPr>
      <t xml:space="preserve">HDR(HLG, BT.2020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HEVC) </t>
    </r>
    <r>
      <rPr>
        <sz val="10"/>
        <color rgb="FF000000"/>
        <rFont val="Noto Sans CJK SC"/>
        <family val="2"/>
      </rPr>
      <t xml:space="preserve">영상을 넣으면 색이 크게 바램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247→94). </t>
    </r>
    <r>
      <rPr>
        <sz val="10"/>
        <color rgb="FF000000"/>
        <rFont val="Noto Sans CJK SC"/>
        <family val="2"/>
      </rPr>
      <t xml:space="preserve">영상마다 전달 특성을 확인해서 </t>
    </r>
    <r>
      <rPr>
        <sz val="10"/>
        <color rgb="FF000000"/>
        <rFont val="Arial"/>
        <family val="0"/>
        <charset val="1"/>
      </rPr>
      <t xml:space="preserve">HDR</t>
    </r>
    <r>
      <rPr>
        <sz val="10"/>
        <color rgb="FF000000"/>
        <rFont val="Noto Sans CJK SC"/>
        <family val="2"/>
      </rPr>
      <t xml:space="preserve">이면 </t>
    </r>
    <r>
      <rPr>
        <sz val="10"/>
        <color rgb="FF000000"/>
        <rFont val="Arial"/>
        <family val="0"/>
        <charset val="1"/>
      </rPr>
      <t xml:space="preserve">zscale+tonemap(mobius)</t>
    </r>
    <r>
      <rPr>
        <sz val="10"/>
        <color rgb="FF000000"/>
        <rFont val="Noto Sans CJK SC"/>
        <family val="2"/>
      </rPr>
      <t xml:space="preserve">으로 일반 색으로 변환 —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장면 이미지 저장 모두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로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속도 부담 약 </t>
    </r>
    <r>
      <rPr>
        <sz val="10"/>
        <color rgb="FF000000"/>
        <rFont val="Arial"/>
        <family val="0"/>
        <charset val="1"/>
      </rPr>
      <t xml:space="preserve">12%</t>
    </r>
  </si>
  <si>
    <r>
      <rPr>
        <sz val="10"/>
        <color rgb="FF000000"/>
        <rFont val="Noto Sans CJK SC"/>
        <family val="2"/>
      </rPr>
      <t xml:space="preserve">수정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비교 이미지 확인</t>
    </r>
  </si>
  <si>
    <t xml:space="preserve">소리가 하나도 없는 영상 내보내기 실패</t>
  </si>
  <si>
    <r>
      <rPr>
        <sz val="10"/>
        <color rgb="FF000000"/>
        <rFont val="Noto Sans CJK SC"/>
        <family val="2"/>
      </rPr>
      <t xml:space="preserve">무음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사진만 있고 음악이 없으면 음량 자동 맞춤</t>
    </r>
    <r>
      <rPr>
        <sz val="10"/>
        <color rgb="FF000000"/>
        <rFont val="Arial"/>
        <family val="0"/>
        <charset val="1"/>
      </rPr>
      <t xml:space="preserve">(loudnorm)</t>
    </r>
    <r>
      <rPr>
        <sz val="10"/>
        <color rgb="FF000000"/>
        <rFont val="Noto Sans CJK SC"/>
        <family val="2"/>
      </rPr>
      <t xml:space="preserve">이 완전한 무음에서 </t>
    </r>
    <r>
      <rPr>
        <sz val="10"/>
        <color rgb="FF000000"/>
        <rFont val="Arial"/>
        <family val="0"/>
        <charset val="1"/>
      </rPr>
      <t xml:space="preserve">NaN</t>
    </r>
    <r>
      <rPr>
        <sz val="10"/>
        <color rgb="FF000000"/>
        <rFont val="Noto Sans CJK SC"/>
        <family val="2"/>
      </rPr>
      <t xml:space="preserve">을 내서 내보내기가 실패 → 소리가 없을 땐 음량 맞춤을 건너뜀</t>
    </r>
    <r>
      <rPr>
        <sz val="10"/>
        <color rgb="FF000000"/>
        <rFont val="Arial"/>
        <family val="0"/>
        <charset val="1"/>
      </rPr>
      <t xml:space="preserve">. HDR </t>
    </r>
    <r>
      <rPr>
        <sz val="10"/>
        <color rgb="FF000000"/>
        <rFont val="Noto Sans CJK SC"/>
        <family val="2"/>
      </rPr>
      <t xml:space="preserve">테스트 중 발견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</si>
  <si>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사진 지원</t>
    </r>
  </si>
  <si>
    <r>
      <rPr>
        <sz val="10"/>
        <color rgb="FF000000"/>
        <rFont val="Arial"/>
        <family val="0"/>
        <charset val="1"/>
      </rPr>
      <t xml:space="preserve">HEIC/HEIF </t>
    </r>
    <r>
      <rPr>
        <sz val="10"/>
        <color rgb="FF000000"/>
        <rFont val="Noto Sans CJK SC"/>
        <family val="2"/>
      </rPr>
      <t xml:space="preserve">사진을 추가하면 </t>
    </r>
    <r>
      <rPr>
        <sz val="10"/>
        <color rgb="FF000000"/>
        <rFont val="Arial"/>
        <family val="0"/>
        <charset val="1"/>
      </rPr>
      <t xml:space="preserve">pillow-heif</t>
    </r>
    <r>
      <rPr>
        <sz val="10"/>
        <color rgb="FF000000"/>
        <rFont val="Noto Sans CJK SC"/>
        <family val="2"/>
      </rPr>
      <t xml:space="preserve">로 한 번 </t>
    </r>
    <r>
      <rPr>
        <sz val="10"/>
        <color rgb="FF000000"/>
        <rFont val="Arial"/>
        <family val="0"/>
        <charset val="1"/>
      </rPr>
      <t xml:space="preserve">JPG</t>
    </r>
    <r>
      <rPr>
        <sz val="10"/>
        <color rgb="FF000000"/>
        <rFont val="Noto Sans CJK SC"/>
        <family val="2"/>
      </rPr>
      <t xml:space="preserve">로 바꿔 두고</t>
    </r>
    <r>
      <rPr>
        <sz val="10"/>
        <color rgb="FF000000"/>
        <rFont val="Arial"/>
        <family val="0"/>
        <charset val="1"/>
      </rPr>
      <t xml:space="preserve">(EXIF </t>
    </r>
    <r>
      <rPr>
        <sz val="10"/>
        <color rgb="FF000000"/>
        <rFont val="Noto Sans CJK SC"/>
        <family val="2"/>
      </rPr>
      <t xml:space="preserve">회전 반영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 기준 재사용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렌더링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장면 저장에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프로젝트에는 원본 경로 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함께 고침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목록 썸네일이 세로 사진</t>
    </r>
    <r>
      <rPr>
        <sz val="10"/>
        <color rgb="FF000000"/>
        <rFont val="Arial"/>
        <family val="0"/>
        <charset val="1"/>
      </rPr>
      <t xml:space="preserve">(EXIF </t>
    </r>
    <r>
      <rPr>
        <sz val="10"/>
        <color rgb="FF000000"/>
        <rFont val="Noto Sans CJK SC"/>
        <family val="2"/>
      </rPr>
      <t xml:space="preserve">회전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가로로 보여 주던 문제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설치본에 </t>
    </r>
    <r>
      <rPr>
        <sz val="10"/>
        <color rgb="FF000000"/>
        <rFont val="Arial"/>
        <family val="0"/>
        <charset val="1"/>
      </rPr>
      <t xml:space="preserve">pillow-heif </t>
    </r>
    <r>
      <rPr>
        <sz val="10"/>
        <color rgb="FF000000"/>
        <rFont val="Noto Sans CJK SC"/>
        <family val="2"/>
      </rPr>
      <t xml:space="preserve">포함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</si>
  <si>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세로 </t>
    </r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렌더링 방향 확인</t>
    </r>
  </si>
  <si>
    <r>
      <rPr>
        <sz val="10"/>
        <color rgb="FF000000"/>
        <rFont val="Noto Sans CJK SC"/>
        <family val="2"/>
      </rPr>
      <t xml:space="preserve">폴더 통째로 추가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찍은 날짜순</t>
    </r>
  </si>
  <si>
    <r>
      <rPr>
        <sz val="10"/>
        <color rgb="FF000000"/>
        <rFont val="Noto Sans CJK SC"/>
        <family val="2"/>
      </rPr>
      <t xml:space="preserve">📁 폴더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하위 폴더까지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사진을 찾아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숨김 파일</t>
    </r>
    <r>
      <rPr>
        <sz val="10"/>
        <color rgb="FF000000"/>
        <rFont val="Arial"/>
        <family val="0"/>
        <charset val="1"/>
      </rPr>
      <t xml:space="preserve">·.AAE </t>
    </r>
    <r>
      <rPr>
        <sz val="10"/>
        <color rgb="FF000000"/>
        <rFont val="Noto Sans CJK SC"/>
        <family val="2"/>
      </rPr>
      <t xml:space="preserve">등 제외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찍은 시각순으로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파일이 많으면 진행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그만 버튼</t>
    </r>
    <r>
      <rPr>
        <sz val="10"/>
        <color rgb="FF000000"/>
        <rFont val="Arial"/>
        <family val="0"/>
        <charset val="1"/>
      </rPr>
      <t xml:space="preserve">). 📅 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전체 다시 정렬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찍은 시각은 아이폰 </t>
    </r>
    <r>
      <rPr>
        <sz val="10"/>
        <color rgb="FF000000"/>
        <rFont val="Arial"/>
        <family val="0"/>
        <charset val="1"/>
      </rPr>
      <t xml:space="preserve">creationdate(</t>
    </r>
    <r>
      <rPr>
        <sz val="10"/>
        <color rgb="FF000000"/>
        <rFont val="Noto Sans CJK SC"/>
        <family val="2"/>
      </rPr>
      <t xml:space="preserve">현지 시간대 포함</t>
    </r>
    <r>
      <rPr>
        <sz val="10"/>
        <color rgb="FF000000"/>
        <rFont val="Arial"/>
        <family val="0"/>
        <charset val="1"/>
      </rPr>
      <t xml:space="preserve">) → creation_time →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EXIF(</t>
    </r>
    <r>
      <rPr>
        <sz val="10"/>
        <color rgb="FF000000"/>
        <rFont val="Noto Sans CJK SC"/>
        <family val="2"/>
      </rPr>
      <t xml:space="preserve">시간대 있으면 반영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파일 수정 시각 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날짜 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</si>
  <si>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도쿄→사진→오사카→교토 순서 확인</t>
    </r>
  </si>
  <si>
    <r>
      <rPr>
        <sz val="10"/>
        <color rgb="FF000000"/>
        <rFont val="Noto Sans CJK SC"/>
        <family val="2"/>
      </rPr>
      <t xml:space="preserve">릴스 가림 영역 피하기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</si>
  <si>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기본 자막 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아래 </t>
    </r>
    <r>
      <rPr>
        <sz val="10"/>
        <color rgb="FF000000"/>
        <rFont val="Arial"/>
        <family val="0"/>
        <charset val="1"/>
      </rPr>
      <t xml:space="preserve">8%)</t>
    </r>
    <r>
      <rPr>
        <sz val="10"/>
        <color rgb="FF000000"/>
        <rFont val="Noto Sans CJK SC"/>
        <family val="2"/>
      </rPr>
      <t xml:space="preserve">와 오른쪽 아래 작은 화면이 릴스 설명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버튼에 가려지는 문제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세로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높이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너비 ≥ </t>
    </r>
    <r>
      <rPr>
        <sz val="10"/>
        <color rgb="FF000000"/>
        <rFont val="Arial"/>
        <family val="0"/>
        <charset val="1"/>
      </rPr>
      <t xml:space="preserve">1.6)</t>
    </r>
    <r>
      <rPr>
        <sz val="10"/>
        <color rgb="FF000000"/>
        <rFont val="Noto Sans CJK SC"/>
        <family val="2"/>
      </rPr>
      <t xml:space="preserve">이면 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여백을 위 </t>
    </r>
    <r>
      <rPr>
        <sz val="10"/>
        <color rgb="FF000000"/>
        <rFont val="Arial"/>
        <family val="0"/>
        <charset val="1"/>
      </rPr>
      <t xml:space="preserve">12%/</t>
    </r>
    <r>
      <rPr>
        <sz val="10"/>
        <color rgb="FF000000"/>
        <rFont val="Noto Sans CJK SC"/>
        <family val="2"/>
      </rPr>
      <t xml:space="preserve">아래 </t>
    </r>
    <r>
      <rPr>
        <sz val="10"/>
        <color rgb="FF000000"/>
        <rFont val="Arial"/>
        <family val="0"/>
        <charset val="1"/>
      </rPr>
      <t xml:space="preserve">22%/</t>
    </r>
    <r>
      <rPr>
        <sz val="10"/>
        <color rgb="FF000000"/>
        <rFont val="Noto Sans CJK SC"/>
        <family val="2"/>
      </rPr>
      <t xml:space="preserve">오른쪽 </t>
    </r>
    <r>
      <rPr>
        <sz val="10"/>
        <color rgb="FF000000"/>
        <rFont val="Arial"/>
        <family val="0"/>
        <charset val="1"/>
      </rPr>
      <t xml:space="preserve">13% </t>
    </r>
    <r>
      <rPr>
        <sz val="10"/>
        <color rgb="FF000000"/>
        <rFont val="Noto Sans CJK SC"/>
        <family val="2"/>
      </rPr>
      <t xml:space="preserve">이상으로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이미 더 크면 그대로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미리보기 전용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가림 영역 표시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로 붉게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비교 이미지로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남은 점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아래쪽 작은 화면과 아래 자막이 겹칠 수 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위치 설정으로 조정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</si>
  <si>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설정 템플릿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적용</t>
    </r>
  </si>
  <si>
    <r>
      <rPr>
        <sz val="10"/>
        <color rgb="FF000000"/>
        <rFont val="Noto Sans CJK SC"/>
        <family val="2"/>
      </rPr>
      <t xml:space="preserve">파일 메뉴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지금 설정을 템플릿으로 저장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이름 입력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포함 여부 선택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템플릿 적용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목록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템플릿 폴더 열기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 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경로는 빼고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적용해도 지금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 내용은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실행 취소로 되돌릴 수 있음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저장 위치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데이터 폴더</t>
    </r>
    <r>
      <rPr>
        <sz val="10"/>
        <color rgb="FF000000"/>
        <rFont val="Arial"/>
        <family val="0"/>
        <charset val="1"/>
      </rPr>
      <t xml:space="preserve">/templates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</si>
  <si>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저장→적용→실행 취소 확인</t>
    </r>
  </si>
  <si>
    <t xml:space="preserve">음악 없이 내보내기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</si>
  <si>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음악 넣기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를 끄면 비트에 맞춘 컷 계획은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트랙만 빼고 만듦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완료 창에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인스타 앱에서 이 노래를 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초부터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안내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 소리도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이면 완전 무음 영상이 되는데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앞서 고친 무음 내보내기 덕분에 정상</t>
    </r>
    <r>
      <rPr>
        <sz val="10"/>
        <color rgb="FF000000"/>
        <rFont val="Arial"/>
        <family val="0"/>
        <charset val="1"/>
      </rPr>
      <t xml:space="preserve">(8.0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-91dB) </t>
    </r>
    <r>
      <rPr>
        <sz val="10"/>
        <color rgb="FF000000"/>
        <rFont val="Noto Sans CJK SC"/>
        <family val="2"/>
      </rPr>
      <t xml:space="preserve">확인</t>
    </r>
  </si>
  <si>
    <r>
      <rPr>
        <sz val="10"/>
        <color rgb="FF000000"/>
        <rFont val="Noto Sans CJK SC"/>
        <family val="2"/>
      </rPr>
      <t xml:space="preserve">날짜 정보 없을 때 물어보기 </t>
    </r>
    <r>
      <rPr>
        <sz val="10"/>
        <color rgb="FF000000"/>
        <rFont val="Arial"/>
        <family val="0"/>
        <charset val="1"/>
      </rPr>
      <t xml:space="preserve">+ 2026 recap </t>
    </r>
    <r>
      <rPr>
        <sz val="10"/>
        <color rgb="FF000000"/>
        <rFont val="Noto Sans CJK SC"/>
        <family val="2"/>
      </rPr>
      <t xml:space="preserve">릴스 계획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</si>
  <si>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날짜 시간 정보가 없을 때 언제 찍었는지 물어보면</t>
    </r>
    <r>
      <rPr>
        <sz val="10"/>
        <color rgb="FF000000"/>
        <rFont val="Arial"/>
        <family val="0"/>
        <charset val="1"/>
      </rPr>
      <t xml:space="preserve">?" + "2026 recap </t>
    </r>
    <r>
      <rPr>
        <sz val="10"/>
        <color rgb="FF000000"/>
        <rFont val="Noto Sans CJK SC"/>
        <family val="2"/>
      </rPr>
      <t xml:space="preserve">릴스도 만들 것</t>
    </r>
    <r>
      <rPr>
        <sz val="10"/>
        <color rgb="FF000000"/>
        <rFont val="Arial"/>
        <family val="0"/>
        <charset val="1"/>
      </rPr>
      <t xml:space="preserve">" → 7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: 36 </t>
    </r>
    <r>
      <rPr>
        <sz val="10"/>
        <color rgb="FF000000"/>
        <rFont val="Noto Sans CJK SC"/>
        <family val="2"/>
      </rPr>
      <t xml:space="preserve">찍은 날짜 묻기</t>
    </r>
    <r>
      <rPr>
        <sz val="10"/>
        <color rgb="FF000000"/>
        <rFont val="Arial"/>
        <family val="0"/>
        <charset val="1"/>
      </rPr>
      <t xml:space="preserve">, 37 </t>
    </r>
    <r>
      <rPr>
        <sz val="10"/>
        <color rgb="FF000000"/>
        <rFont val="Noto Sans CJK SC"/>
        <family val="2"/>
      </rPr>
      <t xml:space="preserve">날짜 도장</t>
    </r>
    <r>
      <rPr>
        <sz val="10"/>
        <color rgb="FF000000"/>
        <rFont val="Arial"/>
        <family val="0"/>
        <charset val="1"/>
      </rPr>
      <t xml:space="preserve">, 38 </t>
    </r>
    <r>
      <rPr>
        <sz val="10"/>
        <color rgb="FF000000"/>
        <rFont val="Noto Sans CJK SC"/>
        <family val="2"/>
      </rPr>
      <t xml:space="preserve">월별 제목 자동</t>
    </r>
    <r>
      <rPr>
        <sz val="10"/>
        <color rgb="FF000000"/>
        <rFont val="Arial"/>
        <family val="0"/>
        <charset val="1"/>
      </rPr>
      <t xml:space="preserve">, 39 </t>
    </r>
    <r>
      <rPr>
        <sz val="10"/>
        <color rgb="FF000000"/>
        <rFont val="Noto Sans CJK SC"/>
        <family val="2"/>
      </rPr>
      <t xml:space="preserve">날짜 범위로 골라 추가</t>
    </r>
  </si>
  <si>
    <t xml:space="preserve">반영</t>
  </si>
  <si>
    <t xml:space="preserve">찍은 날짜 묻기</t>
  </si>
  <si>
    <r>
      <rPr>
        <sz val="10"/>
        <color rgb="FF000000"/>
        <rFont val="Noto Sans CJK SC"/>
        <family val="2"/>
      </rPr>
      <t xml:space="preserve">클립을 추가할 때 촬영 시각 정보가 없어 파일 시각으로 추정한 클립만 모아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찍은 날짜 정하기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날짜시간</t>
    </r>
    <r>
      <rPr>
        <sz val="10"/>
        <color rgb="FF000000"/>
        <rFont val="Arial"/>
        <family val="0"/>
        <charset val="1"/>
      </rPr>
      <t xml:space="preserve">, "</t>
    </r>
    <r>
      <rPr>
        <sz val="10"/>
        <color rgb="FF000000"/>
        <rFont val="Noto Sans CJK SC"/>
        <family val="2"/>
      </rPr>
      <t xml:space="preserve">모두 이 날짜로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는 시</t>
    </r>
    <r>
      <rPr>
        <sz val="10"/>
        <color rgb="FF000000"/>
        <rFont val="Arial"/>
        <family val="0"/>
        <charset val="1"/>
      </rPr>
      <t xml:space="preserve">:</t>
    </r>
    <r>
      <rPr>
        <sz val="10"/>
        <color rgb="FF000000"/>
        <rFont val="Noto Sans CJK SC"/>
        <family val="2"/>
      </rPr>
      <t xml:space="preserve">분은 두고 날짜만 바꿔 같은 날 순서 유지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건너뛰기 가능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클립 편집에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찍은 시각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추정 시각은 목록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편집 칸에 ⚠ 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</si>
  <si>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</t>
    </r>
  </si>
  <si>
    <t xml:space="preserve">날짜 도장</t>
  </si>
  <si>
    <r>
      <rPr>
        <sz val="10"/>
        <color rgb="FF000000"/>
        <rFont val="Noto Sans CJK SC"/>
        <family val="2"/>
      </rPr>
      <t xml:space="preserve">제목 탭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날짜 도장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필름 카메라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주황 숫자</t>
    </r>
    <r>
      <rPr>
        <sz val="10"/>
        <color rgb="FF000000"/>
        <rFont val="Arial"/>
        <family val="0"/>
        <charset val="1"/>
      </rPr>
      <t xml:space="preserve">, '26 3 14) / </t>
    </r>
    <r>
      <rPr>
        <sz val="10"/>
        <color rgb="FF000000"/>
        <rFont val="Noto Sans CJK SC"/>
        <family val="2"/>
      </rPr>
      <t xml:space="preserve">깔끔한 흰 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형식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네 구석 위치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렌더링과 같은 프레임 단위로 조각마다 그 클립의 찍은 날짜를 넣고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같은 날짜가 이어지면 하나로 합침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날짜 모르는 클립은 표시 안 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릴스 가림 영역도 피함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</si>
  <si>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확인</t>
    </r>
  </si>
  <si>
    <t xml:space="preserve">월별 제목 자동</t>
  </si>
  <si>
    <r>
      <rPr>
        <sz val="10"/>
        <color rgb="FF000000"/>
        <rFont val="Noto Sans CJK SC"/>
        <family val="2"/>
      </rPr>
      <t xml:space="preserve">제목 탭 </t>
    </r>
    <r>
      <rPr>
        <sz val="10"/>
        <color rgb="FF000000"/>
        <rFont val="Arial"/>
        <family val="0"/>
        <charset val="1"/>
      </rPr>
      <t xml:space="preserve">"📅 </t>
    </r>
    <r>
      <rPr>
        <sz val="10"/>
        <color rgb="FF000000"/>
        <rFont val="Noto Sans CJK SC"/>
        <family val="2"/>
      </rPr>
      <t xml:space="preserve">월별 제목 자동</t>
    </r>
    <r>
      <rPr>
        <sz val="10"/>
        <color rgb="FF000000"/>
        <rFont val="Arial"/>
        <family val="0"/>
        <charset val="1"/>
      </rPr>
      <t xml:space="preserve">"(JANUARY/JAN/1</t>
    </r>
    <r>
      <rPr>
        <sz val="10"/>
        <color rgb="FF000000"/>
        <rFont val="Noto Sans CJK SC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/01): </t>
    </r>
    <r>
      <rPr>
        <sz val="10"/>
        <color rgb="FF000000"/>
        <rFont val="Noto Sans CJK SC"/>
        <family val="2"/>
      </rPr>
      <t xml:space="preserve">완성 영상 조각을 따라가며 찍은 날짜의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이 바뀌는 순간에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초 제목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달이 더 빨리 오면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날짜 없는 클립은 건너뜀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기존 제목은 지우고 넣기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같이 두기 선택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개발 중 버튼 기능이 자막 패널에 잘못 붙은 것을 화면 테스트에서 발견해 바로잡음</t>
    </r>
  </si>
  <si>
    <t xml:space="preserve">폴더 추가 때 날짜 범위로 고르기</t>
  </si>
  <si>
    <r>
      <rPr>
        <sz val="10"/>
        <color rgb="FF000000"/>
        <rFont val="Noto Sans CJK SC"/>
        <family val="2"/>
      </rPr>
      <t xml:space="preserve">폴더를 고르면 찾은 개수와 함께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찍은 날짜로 고르기</t>
    </r>
    <r>
      <rPr>
        <sz val="10"/>
        <color rgb="FF000000"/>
        <rFont val="Arial"/>
        <family val="0"/>
        <charset val="1"/>
      </rPr>
      <t xml:space="preserve">"(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올해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작년 버튼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창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날짜가 확실한 파일만 범위로 거르고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날짜 정보 없는 파일은 넣은 뒤 언제 찍었는지 물어봄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뺀 개수 안내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</si>
  <si>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2025/2027 </t>
    </r>
    <r>
      <rPr>
        <sz val="10"/>
        <color rgb="FF000000"/>
        <rFont val="Noto Sans CJK SC"/>
        <family val="2"/>
      </rPr>
      <t xml:space="preserve">파일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날짜 없는 파일은 질문 확인</t>
    </r>
  </si>
  <si>
    <t xml:space="preserve">클립마다 비트 수 다르게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</si>
  <si>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어떤 영상은 비트 한 번 만에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어떤 영상은 비트 두 번 뒤에 다음 영상으로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요청</t>
    </r>
  </si>
  <si>
    <t xml:space="preserve">클립마다 비트 수 따로</t>
  </si>
  <si>
    <r>
      <rPr>
        <sz val="10"/>
        <color rgb="FF000000"/>
        <rFont val="Noto Sans CJK SC"/>
        <family val="2"/>
      </rPr>
      <t xml:space="preserve">클립 편집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기본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탭 설정</t>
    </r>
    <r>
      <rPr>
        <sz val="10"/>
        <color rgb="FF000000"/>
        <rFont val="Arial"/>
        <family val="0"/>
        <charset val="1"/>
      </rPr>
      <t xml:space="preserve">)/1/2/3/4/8</t>
    </r>
    <r>
      <rPr>
        <sz val="10"/>
        <color rgb="FF000000"/>
        <rFont val="Noto Sans CJK SC"/>
        <family val="2"/>
      </rPr>
      <t xml:space="preserve">비트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순서대로 각자 정한 비트만큼 지나서 다음 컷 — 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무작위 순서도 섞인 순서대로 반영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파일 번갈아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반복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에서 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그 밖의 방식에선 전체 설정 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탭에 안내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목록에 ♪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비트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탭 완성 길이 계산에 반영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</si>
  <si>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1+2+4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= 3.5</t>
    </r>
    <r>
      <rPr>
        <sz val="10"/>
        <color rgb="FF000000"/>
        <rFont val="Noto Sans CJK SC"/>
        <family val="2"/>
      </rPr>
      <t xml:space="preserve">초 확인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</si>
  <si>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</si>
  <si>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</si>
  <si>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</si>
  <si>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</si>
  <si>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</si>
  <si>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</si>
  <si>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</si>
  <si>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</si>
  <si>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</si>
  <si>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</si>
  <si>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</si>
  <si>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</si>
  <si>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</si>
  <si>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</si>
  <si>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</si>
  <si>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</si>
  <si>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</si>
  <si>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</si>
  <si>
    <t xml:space="preserve">오류 기록 테스트 추가</t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</si>
  <si>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</si>
  <si>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사진 움직임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</si>
  <si>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덕킹 그래프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실제 렌더링 측정 테스트 추가</t>
    </r>
  </si>
  <si>
    <r>
      <rPr>
        <sz val="10"/>
        <color rgb="FF000000"/>
        <rFont val="Noto Sans CJK SC"/>
        <family val="2"/>
      </rPr>
      <t xml:space="preserve">색감 필터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</si>
  <si>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그래픽카드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테스트 등 추가</t>
    </r>
  </si>
  <si>
    <t xml:space="preserve">여러 비율 파일 이름 테스트 추가</t>
  </si>
  <si>
    <r>
      <rPr>
        <sz val="10"/>
        <color rgb="FF000000"/>
        <rFont val="Noto Sans CJK SC"/>
        <family val="2"/>
      </rPr>
      <t xml:space="preserve">장면 위치 계산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이미지 저장 테스트 추가</t>
    </r>
  </si>
  <si>
    <r>
      <rPr>
        <sz val="10"/>
        <color rgb="FF000000"/>
        <rFont val="Noto Sans CJK SC"/>
        <family val="2"/>
      </rPr>
      <t xml:space="preserve">자막 등장 효과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</si>
  <si>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무음 내보내기 테스트 추가</t>
    </r>
  </si>
  <si>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사진 테스트 추가</t>
    </r>
  </si>
  <si>
    <r>
      <rPr>
        <sz val="10"/>
        <color rgb="FF000000"/>
        <rFont val="Noto Sans CJK SC"/>
        <family val="2"/>
      </rPr>
      <t xml:space="preserve">찍은 시각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폴더 검색 테스트 추가</t>
    </r>
  </si>
  <si>
    <r>
      <rPr>
        <sz val="10"/>
        <color rgb="FF000000"/>
        <rFont val="Noto Sans CJK SC"/>
        <family val="2"/>
      </rPr>
      <t xml:space="preserve">릴스 안전 영역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</si>
  <si>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템플릿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</si>
  <si>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t xml:space="preserve">음악 없이 내보내기 테스트 추가</t>
  </si>
  <si>
    <t xml:space="preserve">찍은 시각 출처 검사 추가</t>
  </si>
  <si>
    <t xml:space="preserve">날짜 도장 테스트 추가</t>
  </si>
  <si>
    <t xml:space="preserve">월별 제목 테스트 추가</t>
  </si>
  <si>
    <t xml:space="preserve">화면 테스트로 날짜 범위 확인</t>
  </si>
  <si>
    <t xml:space="preserve">클립별 비트 수 테스트 추가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</si>
</sst>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64" headerRowCount="1" totalsRowCount="0" totalsRowShown="0">
  <autoFilter ref="A1:F64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41" headerRowCount="1" totalsRowCount="0" totalsRowShown="0">
  <autoFilter ref="A1:F41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36" headerRowCount="1" totalsRowCount="0" totalsRowShown="0">
  <autoFilter ref="A1:E36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COUNTA(로드맵!B2:B41)</f>
        <v>40</v>
      </c>
    </row>
    <row r="4" customFormat="false" ht="15" hidden="false" customHeight="false" outlineLevel="0" collapsed="false">
      <c r="A4" s="3" t="s">
        <v>2</v>
      </c>
      <c r="B4" s="2" t="n">
        <f aca="false">COUNTIF(로드맵!E2:E41,"완료")</f>
        <v>38</v>
      </c>
    </row>
    <row r="5" customFormat="false" ht="15" hidden="false" customHeight="false" outlineLevel="0" collapsed="false">
      <c r="A5" s="3" t="s">
        <v>3</v>
      </c>
      <c r="B5" s="2" t="n">
        <f aca="false">COUNTIF(로드맵!E2:E41,"진행 중")</f>
        <v>0</v>
      </c>
    </row>
    <row r="6" customFormat="false" ht="15" hidden="false" customHeight="false" outlineLevel="0" collapsed="false">
      <c r="A6" s="3" t="s">
        <v>4</v>
      </c>
      <c r="B6" s="2" t="n">
        <f aca="false">COUNTIF(로드맵!E2:E41,"대기")</f>
        <v>2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0.95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기록'!C2:C64)</f>
        <v>63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기록'!B2:B64,"사용자 제보")</f>
        <v>6</v>
      </c>
    </row>
    <row r="11" customFormat="false" ht="15" hidden="false" customHeight="false" outlineLevel="0" collapsed="false">
      <c r="A11" s="3" t="s">
        <v>8</v>
      </c>
      <c r="B11" s="2" t="n">
        <f aca="false">INDEX(테스트!B2:B36,35)</f>
        <v>109</v>
      </c>
    </row>
    <row r="12" customFormat="false" ht="15" hidden="false" customHeight="false" outlineLevel="0" collapsed="false">
      <c r="A12" s="3" t="s">
        <v>9</v>
      </c>
      <c r="B12" s="2" t="n">
        <f aca="false">INDEX(테스트!C2:C36,35)</f>
        <v>109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  <row r="20" customFormat="false" ht="29.85" hidden="false" customHeight="false" outlineLevel="0" collapsed="false">
      <c r="A20" s="8" t="n">
        <v>19</v>
      </c>
      <c r="B20" s="9" t="s">
        <v>66</v>
      </c>
      <c r="C20" s="9" t="s">
        <v>30</v>
      </c>
      <c r="D20" s="9" t="s">
        <v>67</v>
      </c>
      <c r="E20" s="9" t="s">
        <v>2</v>
      </c>
      <c r="F20" s="8" t="s">
        <v>28</v>
      </c>
    </row>
    <row r="21" customFormat="false" ht="29.85" hidden="false" customHeight="false" outlineLevel="0" collapsed="false">
      <c r="A21" s="8" t="n">
        <v>20</v>
      </c>
      <c r="B21" s="9" t="s">
        <v>68</v>
      </c>
      <c r="C21" s="9" t="s">
        <v>52</v>
      </c>
      <c r="D21" s="9" t="s">
        <v>69</v>
      </c>
      <c r="E21" s="9" t="s">
        <v>2</v>
      </c>
      <c r="F21" s="8" t="s">
        <v>28</v>
      </c>
    </row>
    <row r="22" customFormat="false" ht="15" hidden="false" customHeight="false" outlineLevel="0" collapsed="false">
      <c r="A22" s="8" t="n">
        <v>21</v>
      </c>
      <c r="B22" s="9" t="s">
        <v>70</v>
      </c>
      <c r="C22" s="9" t="s">
        <v>30</v>
      </c>
      <c r="D22" s="9" t="s">
        <v>71</v>
      </c>
      <c r="E22" s="9" t="s">
        <v>2</v>
      </c>
      <c r="F22" s="8" t="s">
        <v>28</v>
      </c>
    </row>
    <row r="23" customFormat="false" ht="15" hidden="false" customHeight="false" outlineLevel="0" collapsed="false">
      <c r="A23" s="8" t="n">
        <v>22</v>
      </c>
      <c r="B23" s="9" t="s">
        <v>72</v>
      </c>
      <c r="C23" s="9" t="s">
        <v>26</v>
      </c>
      <c r="D23" s="9" t="s">
        <v>73</v>
      </c>
      <c r="E23" s="9" t="s">
        <v>2</v>
      </c>
      <c r="F23" s="8" t="s">
        <v>28</v>
      </c>
    </row>
    <row r="24" customFormat="false" ht="15" hidden="false" customHeight="false" outlineLevel="0" collapsed="false">
      <c r="A24" s="8" t="n">
        <v>23</v>
      </c>
      <c r="B24" s="9" t="s">
        <v>74</v>
      </c>
      <c r="C24" s="9" t="s">
        <v>39</v>
      </c>
      <c r="D24" s="9" t="s">
        <v>75</v>
      </c>
      <c r="E24" s="9" t="s">
        <v>2</v>
      </c>
      <c r="F24" s="8" t="s">
        <v>28</v>
      </c>
    </row>
    <row r="25" customFormat="false" ht="15" hidden="false" customHeight="false" outlineLevel="0" collapsed="false">
      <c r="A25" s="8" t="n">
        <v>24</v>
      </c>
      <c r="B25" s="9" t="s">
        <v>76</v>
      </c>
      <c r="C25" s="9" t="s">
        <v>39</v>
      </c>
      <c r="D25" s="9" t="s">
        <v>77</v>
      </c>
      <c r="E25" s="9" t="s">
        <v>2</v>
      </c>
      <c r="F25" s="8" t="s">
        <v>28</v>
      </c>
    </row>
    <row r="26" customFormat="false" ht="15" hidden="false" customHeight="false" outlineLevel="0" collapsed="false">
      <c r="A26" s="8" t="n">
        <v>25</v>
      </c>
      <c r="B26" s="9" t="s">
        <v>78</v>
      </c>
      <c r="C26" s="9" t="s">
        <v>39</v>
      </c>
      <c r="D26" s="9" t="s">
        <v>79</v>
      </c>
      <c r="E26" s="9" t="s">
        <v>2</v>
      </c>
      <c r="F26" s="8" t="s">
        <v>28</v>
      </c>
    </row>
    <row r="27" customFormat="false" ht="29.85" hidden="false" customHeight="false" outlineLevel="0" collapsed="false">
      <c r="A27" s="8" t="n">
        <v>26</v>
      </c>
      <c r="B27" s="9" t="s">
        <v>80</v>
      </c>
      <c r="C27" s="9" t="s">
        <v>26</v>
      </c>
      <c r="D27" s="9" t="s">
        <v>81</v>
      </c>
      <c r="E27" s="9" t="s">
        <v>2</v>
      </c>
      <c r="F27" s="8" t="s">
        <v>28</v>
      </c>
    </row>
    <row r="28" customFormat="false" ht="29.85" hidden="false" customHeight="false" outlineLevel="0" collapsed="false">
      <c r="A28" s="8" t="n">
        <v>27</v>
      </c>
      <c r="B28" s="9" t="s">
        <v>82</v>
      </c>
      <c r="C28" s="9" t="s">
        <v>26</v>
      </c>
      <c r="D28" s="9" t="s">
        <v>83</v>
      </c>
      <c r="E28" s="9" t="s">
        <v>2</v>
      </c>
      <c r="F28" s="8" t="s">
        <v>28</v>
      </c>
    </row>
    <row r="29" customFormat="false" ht="29.85" hidden="false" customHeight="false" outlineLevel="0" collapsed="false">
      <c r="A29" s="8" t="n">
        <v>28</v>
      </c>
      <c r="B29" s="9" t="s">
        <v>84</v>
      </c>
      <c r="C29" s="9" t="s">
        <v>39</v>
      </c>
      <c r="D29" s="9" t="s">
        <v>85</v>
      </c>
      <c r="E29" s="9" t="s">
        <v>2</v>
      </c>
      <c r="F29" s="8" t="s">
        <v>28</v>
      </c>
    </row>
    <row r="30" customFormat="false" ht="15" hidden="false" customHeight="false" outlineLevel="0" collapsed="false">
      <c r="A30" s="8" t="n">
        <v>29</v>
      </c>
      <c r="B30" s="9" t="s">
        <v>86</v>
      </c>
      <c r="C30" s="9" t="s">
        <v>39</v>
      </c>
      <c r="D30" s="9" t="s">
        <v>87</v>
      </c>
      <c r="E30" s="9" t="s">
        <v>2</v>
      </c>
      <c r="F30" s="8" t="s">
        <v>28</v>
      </c>
    </row>
    <row r="31" customFormat="false" ht="29.85" hidden="false" customHeight="false" outlineLevel="0" collapsed="false">
      <c r="A31" s="8" t="n">
        <v>30</v>
      </c>
      <c r="B31" s="9" t="s">
        <v>88</v>
      </c>
      <c r="C31" s="9" t="s">
        <v>30</v>
      </c>
      <c r="D31" s="9" t="s">
        <v>89</v>
      </c>
      <c r="E31" s="9" t="s">
        <v>2</v>
      </c>
      <c r="F31" s="8" t="s">
        <v>28</v>
      </c>
    </row>
    <row r="32" customFormat="false" ht="15" hidden="false" customHeight="false" outlineLevel="0" collapsed="false">
      <c r="A32" s="8" t="n">
        <v>31</v>
      </c>
      <c r="B32" s="9" t="s">
        <v>90</v>
      </c>
      <c r="C32" s="9" t="s">
        <v>30</v>
      </c>
      <c r="D32" s="9" t="s">
        <v>91</v>
      </c>
      <c r="E32" s="9" t="s">
        <v>2</v>
      </c>
      <c r="F32" s="8" t="s">
        <v>28</v>
      </c>
    </row>
    <row r="33" customFormat="false" ht="29.85" hidden="false" customHeight="false" outlineLevel="0" collapsed="false">
      <c r="A33" s="8" t="n">
        <v>32</v>
      </c>
      <c r="B33" s="9" t="s">
        <v>92</v>
      </c>
      <c r="C33" s="9" t="s">
        <v>26</v>
      </c>
      <c r="D33" s="9" t="s">
        <v>93</v>
      </c>
      <c r="E33" s="9" t="s">
        <v>2</v>
      </c>
      <c r="F33" s="8" t="s">
        <v>28</v>
      </c>
    </row>
    <row r="34" customFormat="false" ht="29.85" hidden="false" customHeight="false" outlineLevel="0" collapsed="false">
      <c r="A34" s="8" t="n">
        <v>33</v>
      </c>
      <c r="B34" s="9" t="s">
        <v>94</v>
      </c>
      <c r="C34" s="9" t="s">
        <v>39</v>
      </c>
      <c r="D34" s="9" t="s">
        <v>95</v>
      </c>
      <c r="E34" s="9" t="s">
        <v>2</v>
      </c>
      <c r="F34" s="8" t="s">
        <v>28</v>
      </c>
    </row>
    <row r="35" customFormat="false" ht="29.85" hidden="false" customHeight="false" outlineLevel="0" collapsed="false">
      <c r="A35" s="8" t="n">
        <v>34</v>
      </c>
      <c r="B35" s="9" t="s">
        <v>96</v>
      </c>
      <c r="C35" s="9" t="s">
        <v>26</v>
      </c>
      <c r="D35" s="9" t="s">
        <v>97</v>
      </c>
      <c r="E35" s="9" t="s">
        <v>2</v>
      </c>
      <c r="F35" s="8" t="s">
        <v>28</v>
      </c>
    </row>
    <row r="36" customFormat="false" ht="29.85" hidden="false" customHeight="false" outlineLevel="0" collapsed="false">
      <c r="A36" s="8" t="n">
        <v>35</v>
      </c>
      <c r="B36" s="9" t="s">
        <v>98</v>
      </c>
      <c r="C36" s="9" t="s">
        <v>39</v>
      </c>
      <c r="D36" s="9" t="s">
        <v>99</v>
      </c>
      <c r="E36" s="9" t="s">
        <v>2</v>
      </c>
      <c r="F36" s="8" t="s">
        <v>28</v>
      </c>
    </row>
    <row r="37" customFormat="false" ht="29.85" hidden="false" customHeight="false" outlineLevel="0" collapsed="false">
      <c r="A37" s="8" t="n">
        <v>36</v>
      </c>
      <c r="B37" s="9" t="s">
        <v>100</v>
      </c>
      <c r="C37" s="9" t="s">
        <v>52</v>
      </c>
      <c r="D37" s="9" t="s">
        <v>101</v>
      </c>
      <c r="E37" s="9" t="s">
        <v>2</v>
      </c>
      <c r="F37" s="8" t="s">
        <v>28</v>
      </c>
    </row>
    <row r="38" customFormat="false" ht="15" hidden="false" customHeight="false" outlineLevel="0" collapsed="false">
      <c r="A38" s="8" t="n">
        <v>37</v>
      </c>
      <c r="B38" s="9" t="s">
        <v>102</v>
      </c>
      <c r="C38" s="9" t="s">
        <v>39</v>
      </c>
      <c r="D38" s="8" t="s">
        <v>103</v>
      </c>
      <c r="E38" s="9" t="s">
        <v>2</v>
      </c>
      <c r="F38" s="8" t="s">
        <v>28</v>
      </c>
    </row>
    <row r="39" customFormat="false" ht="15" hidden="false" customHeight="false" outlineLevel="0" collapsed="false">
      <c r="A39" s="8" t="n">
        <v>38</v>
      </c>
      <c r="B39" s="9" t="s">
        <v>104</v>
      </c>
      <c r="C39" s="9" t="s">
        <v>26</v>
      </c>
      <c r="D39" s="8" t="s">
        <v>105</v>
      </c>
      <c r="E39" s="9" t="s">
        <v>2</v>
      </c>
      <c r="F39" s="8" t="s">
        <v>28</v>
      </c>
    </row>
    <row r="40" customFormat="false" ht="15" hidden="false" customHeight="false" outlineLevel="0" collapsed="false">
      <c r="A40" s="8" t="n">
        <v>39</v>
      </c>
      <c r="B40" s="9" t="s">
        <v>106</v>
      </c>
      <c r="C40" s="9" t="s">
        <v>26</v>
      </c>
      <c r="D40" s="9" t="s">
        <v>107</v>
      </c>
      <c r="E40" s="9" t="s">
        <v>2</v>
      </c>
      <c r="F40" s="8" t="s">
        <v>28</v>
      </c>
    </row>
    <row r="41" customFormat="false" ht="15" hidden="false" customHeight="false" outlineLevel="0" collapsed="false">
      <c r="A41" s="8" t="n">
        <v>40</v>
      </c>
      <c r="B41" s="9" t="s">
        <v>108</v>
      </c>
      <c r="C41" s="9" t="s">
        <v>52</v>
      </c>
      <c r="D41" s="9" t="s">
        <v>109</v>
      </c>
      <c r="E41" s="9" t="s">
        <v>2</v>
      </c>
      <c r="F41" s="8" t="s">
        <v>28</v>
      </c>
    </row>
  </sheetData>
  <conditionalFormatting sqref="E2:E41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110</v>
      </c>
      <c r="B1" s="7" t="s">
        <v>111</v>
      </c>
      <c r="C1" s="7" t="s">
        <v>20</v>
      </c>
      <c r="D1" s="7" t="s">
        <v>112</v>
      </c>
      <c r="E1" s="7" t="s">
        <v>113</v>
      </c>
      <c r="F1" s="7" t="s">
        <v>114</v>
      </c>
    </row>
    <row r="2" customFormat="false" ht="15" hidden="false" customHeight="false" outlineLevel="0" collapsed="false">
      <c r="A2" s="8" t="s">
        <v>115</v>
      </c>
      <c r="B2" s="9" t="s">
        <v>116</v>
      </c>
      <c r="C2" s="9" t="s">
        <v>117</v>
      </c>
      <c r="D2" s="9" t="s">
        <v>118</v>
      </c>
      <c r="E2" s="9" t="s">
        <v>2</v>
      </c>
      <c r="F2" s="8" t="s">
        <v>119</v>
      </c>
    </row>
    <row r="3" customFormat="false" ht="29.85" hidden="false" customHeight="false" outlineLevel="0" collapsed="false">
      <c r="A3" s="8" t="s">
        <v>115</v>
      </c>
      <c r="B3" s="9" t="s">
        <v>116</v>
      </c>
      <c r="C3" s="9" t="s">
        <v>120</v>
      </c>
      <c r="D3" s="8" t="s">
        <v>121</v>
      </c>
      <c r="E3" s="9" t="s">
        <v>2</v>
      </c>
      <c r="F3" s="8" t="s">
        <v>122</v>
      </c>
    </row>
    <row r="4" customFormat="false" ht="15" hidden="false" customHeight="false" outlineLevel="0" collapsed="false">
      <c r="A4" s="8" t="s">
        <v>115</v>
      </c>
      <c r="B4" s="9" t="s">
        <v>123</v>
      </c>
      <c r="C4" s="8" t="s">
        <v>124</v>
      </c>
      <c r="D4" s="8" t="s">
        <v>125</v>
      </c>
      <c r="E4" s="9" t="s">
        <v>126</v>
      </c>
      <c r="F4" s="8" t="s">
        <v>122</v>
      </c>
    </row>
    <row r="5" customFormat="false" ht="15" hidden="false" customHeight="false" outlineLevel="0" collapsed="false">
      <c r="A5" s="8" t="s">
        <v>115</v>
      </c>
      <c r="B5" s="9" t="s">
        <v>116</v>
      </c>
      <c r="C5" s="9" t="s">
        <v>127</v>
      </c>
      <c r="D5" s="9" t="s">
        <v>128</v>
      </c>
      <c r="E5" s="9" t="s">
        <v>2</v>
      </c>
      <c r="F5" s="8" t="s">
        <v>129</v>
      </c>
    </row>
    <row r="6" customFormat="false" ht="15" hidden="false" customHeight="false" outlineLevel="0" collapsed="false">
      <c r="A6" s="8" t="s">
        <v>115</v>
      </c>
      <c r="B6" s="9" t="s">
        <v>116</v>
      </c>
      <c r="C6" s="9" t="s">
        <v>130</v>
      </c>
      <c r="D6" s="8" t="s">
        <v>131</v>
      </c>
      <c r="E6" s="9" t="s">
        <v>2</v>
      </c>
      <c r="F6" s="8" t="s">
        <v>132</v>
      </c>
    </row>
    <row r="7" customFormat="false" ht="29.85" hidden="false" customHeight="false" outlineLevel="0" collapsed="false">
      <c r="A7" s="8" t="s">
        <v>115</v>
      </c>
      <c r="B7" s="9" t="s">
        <v>133</v>
      </c>
      <c r="C7" s="9" t="s">
        <v>134</v>
      </c>
      <c r="D7" s="9" t="s">
        <v>135</v>
      </c>
      <c r="E7" s="9" t="s">
        <v>123</v>
      </c>
      <c r="F7" s="8" t="s">
        <v>136</v>
      </c>
    </row>
    <row r="8" customFormat="false" ht="29.85" hidden="false" customHeight="false" outlineLevel="0" collapsed="false">
      <c r="A8" s="8" t="s">
        <v>115</v>
      </c>
      <c r="B8" s="9" t="s">
        <v>133</v>
      </c>
      <c r="C8" s="9" t="s">
        <v>137</v>
      </c>
      <c r="D8" s="9" t="s">
        <v>138</v>
      </c>
      <c r="E8" s="9" t="s">
        <v>123</v>
      </c>
      <c r="F8" s="8" t="s">
        <v>139</v>
      </c>
    </row>
    <row r="9" customFormat="false" ht="29.85" hidden="false" customHeight="false" outlineLevel="0" collapsed="false">
      <c r="A9" s="8" t="s">
        <v>115</v>
      </c>
      <c r="B9" s="9" t="s">
        <v>133</v>
      </c>
      <c r="C9" s="9" t="s">
        <v>140</v>
      </c>
      <c r="D9" s="9" t="s">
        <v>141</v>
      </c>
      <c r="E9" s="9" t="s">
        <v>142</v>
      </c>
      <c r="F9" s="8" t="s">
        <v>143</v>
      </c>
    </row>
    <row r="10" customFormat="false" ht="29.85" hidden="false" customHeight="false" outlineLevel="0" collapsed="false">
      <c r="A10" s="8" t="s">
        <v>28</v>
      </c>
      <c r="B10" s="9" t="s">
        <v>144</v>
      </c>
      <c r="C10" s="9" t="s">
        <v>145</v>
      </c>
      <c r="D10" s="9" t="s">
        <v>146</v>
      </c>
      <c r="E10" s="9" t="s">
        <v>147</v>
      </c>
      <c r="F10" s="8"/>
    </row>
    <row r="11" customFormat="false" ht="29.85" hidden="false" customHeight="false" outlineLevel="0" collapsed="false">
      <c r="A11" s="8" t="s">
        <v>28</v>
      </c>
      <c r="B11" s="9" t="s">
        <v>116</v>
      </c>
      <c r="C11" s="8" t="s">
        <v>148</v>
      </c>
      <c r="D11" s="9" t="s">
        <v>149</v>
      </c>
      <c r="E11" s="9" t="s">
        <v>150</v>
      </c>
      <c r="F11" s="8" t="s">
        <v>151</v>
      </c>
    </row>
    <row r="12" customFormat="false" ht="29.85" hidden="false" customHeight="false" outlineLevel="0" collapsed="false">
      <c r="A12" s="8" t="s">
        <v>28</v>
      </c>
      <c r="B12" s="9" t="s">
        <v>116</v>
      </c>
      <c r="C12" s="8" t="s">
        <v>152</v>
      </c>
      <c r="D12" s="9" t="s">
        <v>153</v>
      </c>
      <c r="E12" s="9" t="s">
        <v>2</v>
      </c>
      <c r="F12" s="8" t="s">
        <v>154</v>
      </c>
    </row>
    <row r="13" customFormat="false" ht="29.85" hidden="false" customHeight="false" outlineLevel="0" collapsed="false">
      <c r="A13" s="8" t="s">
        <v>28</v>
      </c>
      <c r="B13" s="9" t="s">
        <v>123</v>
      </c>
      <c r="C13" s="8" t="s">
        <v>155</v>
      </c>
      <c r="D13" s="9" t="s">
        <v>156</v>
      </c>
      <c r="E13" s="9" t="s">
        <v>2</v>
      </c>
      <c r="F13" s="8" t="s">
        <v>157</v>
      </c>
    </row>
    <row r="14" customFormat="false" ht="29.85" hidden="false" customHeight="false" outlineLevel="0" collapsed="false">
      <c r="A14" s="8" t="s">
        <v>28</v>
      </c>
      <c r="B14" s="9" t="s">
        <v>116</v>
      </c>
      <c r="C14" s="8" t="s">
        <v>158</v>
      </c>
      <c r="D14" s="9" t="s">
        <v>159</v>
      </c>
      <c r="E14" s="9" t="s">
        <v>2</v>
      </c>
      <c r="F14" s="8" t="s">
        <v>157</v>
      </c>
    </row>
    <row r="15" customFormat="false" ht="29.85" hidden="false" customHeight="false" outlineLevel="0" collapsed="false">
      <c r="A15" s="8" t="s">
        <v>28</v>
      </c>
      <c r="B15" s="9" t="s">
        <v>144</v>
      </c>
      <c r="C15" s="8" t="s">
        <v>160</v>
      </c>
      <c r="D15" s="9" t="s">
        <v>161</v>
      </c>
      <c r="E15" s="9" t="s">
        <v>162</v>
      </c>
      <c r="F15" s="8"/>
    </row>
    <row r="16" customFormat="false" ht="29.85" hidden="false" customHeight="false" outlineLevel="0" collapsed="false">
      <c r="A16" s="8" t="s">
        <v>28</v>
      </c>
      <c r="B16" s="9" t="s">
        <v>116</v>
      </c>
      <c r="C16" s="9" t="s">
        <v>163</v>
      </c>
      <c r="D16" s="8" t="s">
        <v>164</v>
      </c>
      <c r="E16" s="9" t="s">
        <v>2</v>
      </c>
      <c r="F16" s="8" t="s">
        <v>157</v>
      </c>
    </row>
    <row r="17" customFormat="false" ht="29.85" hidden="false" customHeight="false" outlineLevel="0" collapsed="false">
      <c r="A17" s="8" t="s">
        <v>28</v>
      </c>
      <c r="B17" s="9" t="s">
        <v>116</v>
      </c>
      <c r="C17" s="8" t="s">
        <v>165</v>
      </c>
      <c r="D17" s="9" t="s">
        <v>166</v>
      </c>
      <c r="E17" s="9" t="s">
        <v>2</v>
      </c>
      <c r="F17" s="8" t="s">
        <v>167</v>
      </c>
    </row>
    <row r="18" customFormat="false" ht="29.85" hidden="false" customHeight="false" outlineLevel="0" collapsed="false">
      <c r="A18" s="8" t="s">
        <v>28</v>
      </c>
      <c r="B18" s="9" t="s">
        <v>116</v>
      </c>
      <c r="C18" s="8" t="s">
        <v>168</v>
      </c>
      <c r="D18" s="9" t="s">
        <v>169</v>
      </c>
      <c r="E18" s="9" t="s">
        <v>2</v>
      </c>
      <c r="F18" s="8" t="s">
        <v>170</v>
      </c>
    </row>
    <row r="19" customFormat="false" ht="29.85" hidden="false" customHeight="false" outlineLevel="0" collapsed="false">
      <c r="A19" s="8" t="s">
        <v>28</v>
      </c>
      <c r="B19" s="9" t="s">
        <v>116</v>
      </c>
      <c r="C19" s="8" t="s">
        <v>171</v>
      </c>
      <c r="D19" s="9" t="s">
        <v>172</v>
      </c>
      <c r="E19" s="9" t="s">
        <v>2</v>
      </c>
      <c r="F19" s="8" t="s">
        <v>173</v>
      </c>
    </row>
    <row r="20" customFormat="false" ht="29.85" hidden="false" customHeight="false" outlineLevel="0" collapsed="false">
      <c r="A20" s="8" t="s">
        <v>28</v>
      </c>
      <c r="B20" s="9" t="s">
        <v>116</v>
      </c>
      <c r="C20" s="8" t="s">
        <v>174</v>
      </c>
      <c r="D20" s="9" t="s">
        <v>175</v>
      </c>
      <c r="E20" s="9" t="s">
        <v>2</v>
      </c>
      <c r="F20" s="8" t="s">
        <v>176</v>
      </c>
    </row>
    <row r="21" customFormat="false" ht="29.85" hidden="false" customHeight="false" outlineLevel="0" collapsed="false">
      <c r="A21" s="8" t="s">
        <v>28</v>
      </c>
      <c r="B21" s="9" t="s">
        <v>116</v>
      </c>
      <c r="C21" s="8" t="s">
        <v>177</v>
      </c>
      <c r="D21" s="9" t="s">
        <v>178</v>
      </c>
      <c r="E21" s="9" t="s">
        <v>2</v>
      </c>
      <c r="F21" s="8" t="s">
        <v>179</v>
      </c>
    </row>
    <row r="22" customFormat="false" ht="58.2" hidden="false" customHeight="false" outlineLevel="0" collapsed="false">
      <c r="A22" s="8" t="s">
        <v>28</v>
      </c>
      <c r="B22" s="9" t="s">
        <v>180</v>
      </c>
      <c r="C22" s="9" t="s">
        <v>181</v>
      </c>
      <c r="D22" s="9" t="s">
        <v>182</v>
      </c>
      <c r="E22" s="9" t="s">
        <v>123</v>
      </c>
      <c r="F22" s="8" t="s">
        <v>179</v>
      </c>
    </row>
    <row r="23" customFormat="false" ht="44" hidden="false" customHeight="false" outlineLevel="0" collapsed="false">
      <c r="A23" s="8" t="s">
        <v>28</v>
      </c>
      <c r="B23" s="9" t="s">
        <v>116</v>
      </c>
      <c r="C23" s="8" t="s">
        <v>183</v>
      </c>
      <c r="D23" s="8" t="s">
        <v>184</v>
      </c>
      <c r="E23" s="9" t="s">
        <v>2</v>
      </c>
      <c r="F23" s="8" t="s">
        <v>185</v>
      </c>
    </row>
    <row r="24" customFormat="false" ht="29.85" hidden="false" customHeight="false" outlineLevel="0" collapsed="false">
      <c r="A24" s="8" t="s">
        <v>28</v>
      </c>
      <c r="B24" s="9" t="s">
        <v>186</v>
      </c>
      <c r="C24" s="8" t="s">
        <v>187</v>
      </c>
      <c r="D24" s="9" t="s">
        <v>188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116</v>
      </c>
      <c r="C25" s="8" t="s">
        <v>189</v>
      </c>
      <c r="D25" s="9" t="s">
        <v>190</v>
      </c>
      <c r="E25" s="9" t="s">
        <v>2</v>
      </c>
      <c r="F25" s="8" t="s">
        <v>191</v>
      </c>
    </row>
    <row r="26" customFormat="false" ht="44" hidden="false" customHeight="false" outlineLevel="0" collapsed="false">
      <c r="A26" s="8" t="s">
        <v>28</v>
      </c>
      <c r="B26" s="9" t="s">
        <v>116</v>
      </c>
      <c r="C26" s="8" t="s">
        <v>192</v>
      </c>
      <c r="D26" s="9" t="s">
        <v>193</v>
      </c>
      <c r="E26" s="9" t="s">
        <v>2</v>
      </c>
      <c r="F26" s="8" t="s">
        <v>194</v>
      </c>
    </row>
    <row r="27" customFormat="false" ht="29.85" hidden="false" customHeight="false" outlineLevel="0" collapsed="false">
      <c r="A27" s="8" t="s">
        <v>28</v>
      </c>
      <c r="B27" s="9" t="s">
        <v>116</v>
      </c>
      <c r="C27" s="8" t="s">
        <v>195</v>
      </c>
      <c r="D27" s="9" t="s">
        <v>196</v>
      </c>
      <c r="E27" s="9" t="s">
        <v>2</v>
      </c>
      <c r="F27" s="8" t="s">
        <v>197</v>
      </c>
    </row>
    <row r="28" customFormat="false" ht="58.2" hidden="false" customHeight="false" outlineLevel="0" collapsed="false">
      <c r="A28" s="8" t="s">
        <v>28</v>
      </c>
      <c r="B28" s="9" t="s">
        <v>116</v>
      </c>
      <c r="C28" s="8" t="s">
        <v>198</v>
      </c>
      <c r="D28" s="9" t="s">
        <v>199</v>
      </c>
      <c r="E28" s="9" t="s">
        <v>200</v>
      </c>
      <c r="F28" s="8" t="s">
        <v>201</v>
      </c>
    </row>
    <row r="29" customFormat="false" ht="44" hidden="false" customHeight="false" outlineLevel="0" collapsed="false">
      <c r="A29" s="8" t="s">
        <v>28</v>
      </c>
      <c r="B29" s="9" t="s">
        <v>116</v>
      </c>
      <c r="C29" s="8" t="s">
        <v>202</v>
      </c>
      <c r="D29" s="9" t="s">
        <v>203</v>
      </c>
      <c r="E29" s="9" t="s">
        <v>2</v>
      </c>
      <c r="F29" s="8" t="s">
        <v>204</v>
      </c>
    </row>
    <row r="30" customFormat="false" ht="29.85" hidden="false" customHeight="false" outlineLevel="0" collapsed="false">
      <c r="A30" s="8" t="s">
        <v>28</v>
      </c>
      <c r="B30" s="9" t="s">
        <v>186</v>
      </c>
      <c r="C30" s="8" t="s">
        <v>205</v>
      </c>
      <c r="D30" s="9" t="s">
        <v>206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116</v>
      </c>
      <c r="C31" s="8" t="s">
        <v>207</v>
      </c>
      <c r="D31" s="9" t="s">
        <v>208</v>
      </c>
      <c r="E31" s="9" t="s">
        <v>2</v>
      </c>
      <c r="F31" s="8" t="s">
        <v>209</v>
      </c>
    </row>
    <row r="32" customFormat="false" ht="58.2" hidden="false" customHeight="false" outlineLevel="0" collapsed="false">
      <c r="A32" s="8" t="s">
        <v>28</v>
      </c>
      <c r="B32" s="9" t="s">
        <v>116</v>
      </c>
      <c r="C32" s="8" t="s">
        <v>210</v>
      </c>
      <c r="D32" s="9" t="s">
        <v>211</v>
      </c>
      <c r="E32" s="9" t="s">
        <v>2</v>
      </c>
      <c r="F32" s="8" t="s">
        <v>212</v>
      </c>
    </row>
    <row r="33" customFormat="false" ht="44" hidden="false" customHeight="false" outlineLevel="0" collapsed="false">
      <c r="A33" s="8" t="s">
        <v>28</v>
      </c>
      <c r="B33" s="9" t="s">
        <v>180</v>
      </c>
      <c r="C33" s="8" t="s">
        <v>213</v>
      </c>
      <c r="D33" s="9" t="s">
        <v>214</v>
      </c>
      <c r="E33" s="9" t="s">
        <v>123</v>
      </c>
      <c r="F33" s="8" t="s">
        <v>212</v>
      </c>
    </row>
    <row r="34" customFormat="false" ht="29.85" hidden="false" customHeight="false" outlineLevel="0" collapsed="false">
      <c r="A34" s="8" t="s">
        <v>28</v>
      </c>
      <c r="B34" s="9" t="s">
        <v>186</v>
      </c>
      <c r="C34" s="8" t="s">
        <v>215</v>
      </c>
      <c r="D34" s="8" t="s">
        <v>216</v>
      </c>
      <c r="E34" s="8"/>
      <c r="F34" s="8"/>
    </row>
    <row r="35" customFormat="false" ht="44" hidden="false" customHeight="false" outlineLevel="0" collapsed="false">
      <c r="A35" s="8" t="s">
        <v>28</v>
      </c>
      <c r="B35" s="9" t="s">
        <v>116</v>
      </c>
      <c r="C35" s="8" t="s">
        <v>217</v>
      </c>
      <c r="D35" s="8" t="s">
        <v>218</v>
      </c>
      <c r="E35" s="9" t="s">
        <v>2</v>
      </c>
      <c r="F35" s="8" t="s">
        <v>219</v>
      </c>
    </row>
    <row r="36" customFormat="false" ht="29.85" hidden="false" customHeight="false" outlineLevel="0" collapsed="false">
      <c r="A36" s="8" t="s">
        <v>28</v>
      </c>
      <c r="B36" s="9" t="s">
        <v>133</v>
      </c>
      <c r="C36" s="9" t="s">
        <v>220</v>
      </c>
      <c r="D36" s="8" t="s">
        <v>221</v>
      </c>
      <c r="E36" s="9" t="s">
        <v>2</v>
      </c>
      <c r="F36" s="8"/>
    </row>
    <row r="37" customFormat="false" ht="58.2" hidden="false" customHeight="false" outlineLevel="0" collapsed="false">
      <c r="A37" s="8" t="s">
        <v>28</v>
      </c>
      <c r="B37" s="9" t="s">
        <v>116</v>
      </c>
      <c r="C37" s="9" t="s">
        <v>222</v>
      </c>
      <c r="D37" s="9" t="s">
        <v>223</v>
      </c>
      <c r="E37" s="9" t="s">
        <v>224</v>
      </c>
      <c r="F37" s="8" t="s">
        <v>225</v>
      </c>
    </row>
    <row r="38" customFormat="false" ht="44" hidden="false" customHeight="false" outlineLevel="0" collapsed="false">
      <c r="A38" s="8" t="s">
        <v>28</v>
      </c>
      <c r="B38" s="9" t="s">
        <v>116</v>
      </c>
      <c r="C38" s="9" t="s">
        <v>226</v>
      </c>
      <c r="D38" s="9" t="s">
        <v>227</v>
      </c>
      <c r="E38" s="9" t="s">
        <v>228</v>
      </c>
      <c r="F38" s="8"/>
    </row>
    <row r="39" customFormat="false" ht="29.85" hidden="false" customHeight="false" outlineLevel="0" collapsed="false">
      <c r="A39" s="8" t="s">
        <v>28</v>
      </c>
      <c r="B39" s="9" t="s">
        <v>229</v>
      </c>
      <c r="C39" s="9" t="s">
        <v>230</v>
      </c>
      <c r="D39" s="9" t="s">
        <v>231</v>
      </c>
      <c r="E39" s="9" t="s">
        <v>123</v>
      </c>
      <c r="F39" s="8"/>
    </row>
    <row r="40" customFormat="false" ht="44" hidden="false" customHeight="false" outlineLevel="0" collapsed="false">
      <c r="A40" s="8" t="s">
        <v>28</v>
      </c>
      <c r="B40" s="9" t="s">
        <v>144</v>
      </c>
      <c r="C40" s="9" t="s">
        <v>232</v>
      </c>
      <c r="D40" s="8" t="s">
        <v>233</v>
      </c>
      <c r="E40" s="9" t="s">
        <v>234</v>
      </c>
      <c r="F40" s="8"/>
    </row>
    <row r="41" customFormat="false" ht="44" hidden="false" customHeight="false" outlineLevel="0" collapsed="false">
      <c r="A41" s="8" t="s">
        <v>28</v>
      </c>
      <c r="B41" s="9" t="s">
        <v>116</v>
      </c>
      <c r="C41" s="9" t="s">
        <v>235</v>
      </c>
      <c r="D41" s="9" t="s">
        <v>236</v>
      </c>
      <c r="E41" s="9" t="s">
        <v>237</v>
      </c>
      <c r="F41" s="8"/>
    </row>
    <row r="42" customFormat="false" ht="58.2" hidden="false" customHeight="false" outlineLevel="0" collapsed="false">
      <c r="A42" s="8" t="s">
        <v>28</v>
      </c>
      <c r="B42" s="9" t="s">
        <v>116</v>
      </c>
      <c r="C42" s="9" t="s">
        <v>238</v>
      </c>
      <c r="D42" s="9" t="s">
        <v>239</v>
      </c>
      <c r="E42" s="9" t="s">
        <v>240</v>
      </c>
      <c r="F42" s="8"/>
    </row>
    <row r="43" customFormat="false" ht="58.2" hidden="false" customHeight="false" outlineLevel="0" collapsed="false">
      <c r="A43" s="8" t="s">
        <v>28</v>
      </c>
      <c r="B43" s="9" t="s">
        <v>116</v>
      </c>
      <c r="C43" s="9" t="s">
        <v>241</v>
      </c>
      <c r="D43" s="9" t="s">
        <v>242</v>
      </c>
      <c r="E43" s="9" t="s">
        <v>243</v>
      </c>
      <c r="F43" s="8"/>
    </row>
    <row r="44" customFormat="false" ht="29.85" hidden="false" customHeight="false" outlineLevel="0" collapsed="false">
      <c r="A44" s="8" t="s">
        <v>28</v>
      </c>
      <c r="B44" s="9" t="s">
        <v>186</v>
      </c>
      <c r="C44" s="8" t="s">
        <v>244</v>
      </c>
      <c r="D44" s="8" t="s">
        <v>245</v>
      </c>
      <c r="E44" s="9" t="s">
        <v>186</v>
      </c>
      <c r="F44" s="8"/>
    </row>
    <row r="45" customFormat="false" ht="72.35" hidden="false" customHeight="false" outlineLevel="0" collapsed="false">
      <c r="A45" s="8" t="s">
        <v>28</v>
      </c>
      <c r="B45" s="9" t="s">
        <v>116</v>
      </c>
      <c r="C45" s="9" t="s">
        <v>246</v>
      </c>
      <c r="D45" s="9" t="s">
        <v>247</v>
      </c>
      <c r="E45" s="9" t="s">
        <v>248</v>
      </c>
      <c r="F45" s="8"/>
    </row>
    <row r="46" customFormat="false" ht="15" hidden="false" customHeight="false" outlineLevel="0" collapsed="false">
      <c r="A46" s="8" t="s">
        <v>28</v>
      </c>
      <c r="B46" s="9" t="s">
        <v>229</v>
      </c>
      <c r="C46" s="9" t="s">
        <v>249</v>
      </c>
      <c r="D46" s="9" t="s">
        <v>250</v>
      </c>
      <c r="E46" s="9" t="s">
        <v>123</v>
      </c>
      <c r="F46" s="8"/>
    </row>
    <row r="47" customFormat="false" ht="44" hidden="false" customHeight="false" outlineLevel="0" collapsed="false">
      <c r="A47" s="8" t="s">
        <v>28</v>
      </c>
      <c r="B47" s="9" t="s">
        <v>116</v>
      </c>
      <c r="C47" s="9" t="s">
        <v>251</v>
      </c>
      <c r="D47" s="9" t="s">
        <v>252</v>
      </c>
      <c r="E47" s="9" t="s">
        <v>253</v>
      </c>
      <c r="F47" s="8"/>
    </row>
    <row r="48" customFormat="false" ht="44" hidden="false" customHeight="false" outlineLevel="0" collapsed="false">
      <c r="A48" s="8" t="s">
        <v>28</v>
      </c>
      <c r="B48" s="9" t="s">
        <v>116</v>
      </c>
      <c r="C48" s="9" t="s">
        <v>254</v>
      </c>
      <c r="D48" s="9" t="s">
        <v>255</v>
      </c>
      <c r="E48" s="9" t="s">
        <v>256</v>
      </c>
      <c r="F48" s="8"/>
    </row>
    <row r="49" customFormat="false" ht="58.2" hidden="false" customHeight="false" outlineLevel="0" collapsed="false">
      <c r="A49" s="8" t="s">
        <v>28</v>
      </c>
      <c r="B49" s="9" t="s">
        <v>116</v>
      </c>
      <c r="C49" s="9" t="s">
        <v>257</v>
      </c>
      <c r="D49" s="9" t="s">
        <v>258</v>
      </c>
      <c r="E49" s="9" t="s">
        <v>259</v>
      </c>
      <c r="F49" s="8"/>
    </row>
    <row r="50" customFormat="false" ht="44" hidden="false" customHeight="false" outlineLevel="0" collapsed="false">
      <c r="A50" s="8" t="s">
        <v>28</v>
      </c>
      <c r="B50" s="9" t="s">
        <v>186</v>
      </c>
      <c r="C50" s="8" t="s">
        <v>260</v>
      </c>
      <c r="D50" s="9" t="s">
        <v>261</v>
      </c>
      <c r="E50" s="9" t="s">
        <v>186</v>
      </c>
      <c r="F50" s="8"/>
    </row>
    <row r="51" customFormat="false" ht="44" hidden="false" customHeight="false" outlineLevel="0" collapsed="false">
      <c r="A51" s="8" t="s">
        <v>28</v>
      </c>
      <c r="B51" s="9" t="s">
        <v>229</v>
      </c>
      <c r="C51" s="9" t="s">
        <v>262</v>
      </c>
      <c r="D51" s="9" t="s">
        <v>263</v>
      </c>
      <c r="E51" s="9" t="s">
        <v>264</v>
      </c>
      <c r="F51" s="8"/>
    </row>
    <row r="52" customFormat="false" ht="29.85" hidden="false" customHeight="false" outlineLevel="0" collapsed="false">
      <c r="A52" s="8" t="s">
        <v>28</v>
      </c>
      <c r="B52" s="9" t="s">
        <v>229</v>
      </c>
      <c r="C52" s="9" t="s">
        <v>265</v>
      </c>
      <c r="D52" s="9" t="s">
        <v>266</v>
      </c>
      <c r="E52" s="9" t="s">
        <v>123</v>
      </c>
      <c r="F52" s="8"/>
    </row>
    <row r="53" customFormat="false" ht="58.2" hidden="false" customHeight="false" outlineLevel="0" collapsed="false">
      <c r="A53" s="8" t="s">
        <v>28</v>
      </c>
      <c r="B53" s="9" t="s">
        <v>116</v>
      </c>
      <c r="C53" s="9" t="s">
        <v>267</v>
      </c>
      <c r="D53" s="8" t="s">
        <v>268</v>
      </c>
      <c r="E53" s="9" t="s">
        <v>269</v>
      </c>
      <c r="F53" s="8"/>
    </row>
    <row r="54" customFormat="false" ht="58.2" hidden="false" customHeight="false" outlineLevel="0" collapsed="false">
      <c r="A54" s="8" t="s">
        <v>28</v>
      </c>
      <c r="B54" s="9" t="s">
        <v>116</v>
      </c>
      <c r="C54" s="9" t="s">
        <v>270</v>
      </c>
      <c r="D54" s="9" t="s">
        <v>271</v>
      </c>
      <c r="E54" s="9" t="s">
        <v>272</v>
      </c>
      <c r="F54" s="8"/>
    </row>
    <row r="55" customFormat="false" ht="58.2" hidden="false" customHeight="false" outlineLevel="0" collapsed="false">
      <c r="A55" s="8" t="s">
        <v>28</v>
      </c>
      <c r="B55" s="9" t="s">
        <v>116</v>
      </c>
      <c r="C55" s="9" t="s">
        <v>273</v>
      </c>
      <c r="D55" s="9" t="s">
        <v>274</v>
      </c>
      <c r="E55" s="9" t="s">
        <v>2</v>
      </c>
      <c r="F55" s="8"/>
    </row>
    <row r="56" customFormat="false" ht="58.2" hidden="false" customHeight="false" outlineLevel="0" collapsed="false">
      <c r="A56" s="8" t="s">
        <v>28</v>
      </c>
      <c r="B56" s="9" t="s">
        <v>116</v>
      </c>
      <c r="C56" s="9" t="s">
        <v>275</v>
      </c>
      <c r="D56" s="9" t="s">
        <v>276</v>
      </c>
      <c r="E56" s="9" t="s">
        <v>277</v>
      </c>
      <c r="F56" s="8"/>
    </row>
    <row r="57" customFormat="false" ht="44" hidden="false" customHeight="false" outlineLevel="0" collapsed="false">
      <c r="A57" s="8" t="s">
        <v>28</v>
      </c>
      <c r="B57" s="9" t="s">
        <v>116</v>
      </c>
      <c r="C57" s="9" t="s">
        <v>278</v>
      </c>
      <c r="D57" s="9" t="s">
        <v>279</v>
      </c>
      <c r="E57" s="9" t="s">
        <v>2</v>
      </c>
      <c r="F57" s="8"/>
    </row>
    <row r="58" customFormat="false" ht="29.85" hidden="false" customHeight="false" outlineLevel="0" collapsed="false">
      <c r="A58" s="8" t="s">
        <v>28</v>
      </c>
      <c r="B58" s="9" t="s">
        <v>133</v>
      </c>
      <c r="C58" s="9" t="s">
        <v>280</v>
      </c>
      <c r="D58" s="8" t="s">
        <v>281</v>
      </c>
      <c r="E58" s="9" t="s">
        <v>282</v>
      </c>
      <c r="F58" s="8"/>
    </row>
    <row r="59" customFormat="false" ht="44" hidden="false" customHeight="false" outlineLevel="0" collapsed="false">
      <c r="A59" s="8" t="s">
        <v>28</v>
      </c>
      <c r="B59" s="9" t="s">
        <v>116</v>
      </c>
      <c r="C59" s="9" t="s">
        <v>283</v>
      </c>
      <c r="D59" s="9" t="s">
        <v>284</v>
      </c>
      <c r="E59" s="9" t="s">
        <v>285</v>
      </c>
      <c r="F59" s="8"/>
    </row>
    <row r="60" customFormat="false" ht="44" hidden="false" customHeight="false" outlineLevel="0" collapsed="false">
      <c r="A60" s="8" t="s">
        <v>28</v>
      </c>
      <c r="B60" s="9" t="s">
        <v>116</v>
      </c>
      <c r="C60" s="9" t="s">
        <v>286</v>
      </c>
      <c r="D60" s="9" t="s">
        <v>287</v>
      </c>
      <c r="E60" s="9" t="s">
        <v>288</v>
      </c>
      <c r="F60" s="8"/>
    </row>
    <row r="61" customFormat="false" ht="58.2" hidden="false" customHeight="false" outlineLevel="0" collapsed="false">
      <c r="A61" s="8" t="s">
        <v>28</v>
      </c>
      <c r="B61" s="9" t="s">
        <v>116</v>
      </c>
      <c r="C61" s="9" t="s">
        <v>289</v>
      </c>
      <c r="D61" s="9" t="s">
        <v>290</v>
      </c>
      <c r="E61" s="9" t="s">
        <v>2</v>
      </c>
      <c r="F61" s="8"/>
    </row>
    <row r="62" customFormat="false" ht="58.2" hidden="false" customHeight="false" outlineLevel="0" collapsed="false">
      <c r="A62" s="8" t="s">
        <v>28</v>
      </c>
      <c r="B62" s="9" t="s">
        <v>116</v>
      </c>
      <c r="C62" s="9" t="s">
        <v>291</v>
      </c>
      <c r="D62" s="9" t="s">
        <v>292</v>
      </c>
      <c r="E62" s="9" t="s">
        <v>293</v>
      </c>
      <c r="F62" s="8"/>
    </row>
    <row r="63" customFormat="false" ht="15" hidden="false" customHeight="false" outlineLevel="0" collapsed="false">
      <c r="A63" s="8" t="s">
        <v>28</v>
      </c>
      <c r="B63" s="9" t="s">
        <v>133</v>
      </c>
      <c r="C63" s="9" t="s">
        <v>294</v>
      </c>
      <c r="D63" s="8" t="s">
        <v>295</v>
      </c>
      <c r="E63" s="9" t="s">
        <v>282</v>
      </c>
      <c r="F63" s="8"/>
    </row>
    <row r="64" customFormat="false" ht="58.2" hidden="false" customHeight="false" outlineLevel="0" collapsed="false">
      <c r="A64" s="8" t="s">
        <v>28</v>
      </c>
      <c r="B64" s="9" t="s">
        <v>116</v>
      </c>
      <c r="C64" s="9" t="s">
        <v>296</v>
      </c>
      <c r="D64" s="9" t="s">
        <v>297</v>
      </c>
      <c r="E64" s="9" t="s">
        <v>298</v>
      </c>
      <c r="F64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110</v>
      </c>
      <c r="B1" s="7" t="s">
        <v>299</v>
      </c>
      <c r="C1" s="7" t="s">
        <v>162</v>
      </c>
      <c r="D1" s="7" t="s">
        <v>300</v>
      </c>
      <c r="E1" s="7" t="s">
        <v>301</v>
      </c>
    </row>
    <row r="2" customFormat="false" ht="15" hidden="false" customHeight="false" outlineLevel="0" collapsed="false">
      <c r="A2" s="8" t="s">
        <v>115</v>
      </c>
      <c r="B2" s="8" t="n">
        <v>50</v>
      </c>
      <c r="C2" s="8" t="n">
        <v>50</v>
      </c>
      <c r="D2" s="10" t="n">
        <f aca="false">IFERROR(C2/B2,0)</f>
        <v>1</v>
      </c>
      <c r="E2" s="9" t="s">
        <v>302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303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304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305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306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307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308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309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310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311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312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313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314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315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316</v>
      </c>
    </row>
    <row r="17" customFormat="false" ht="15" hidden="false" customHeight="false" outlineLevel="0" collapsed="false">
      <c r="A17" s="8" t="s">
        <v>28</v>
      </c>
      <c r="B17" s="8" t="n">
        <v>81</v>
      </c>
      <c r="C17" s="8" t="n">
        <v>81</v>
      </c>
      <c r="D17" s="10" t="n">
        <f aca="false">IFERROR(C17/B17,0)</f>
        <v>1</v>
      </c>
      <c r="E17" s="9" t="s">
        <v>317</v>
      </c>
    </row>
    <row r="18" customFormat="false" ht="15" hidden="false" customHeight="false" outlineLevel="0" collapsed="false">
      <c r="A18" s="8" t="s">
        <v>28</v>
      </c>
      <c r="B18" s="8" t="n">
        <v>83</v>
      </c>
      <c r="C18" s="8" t="n">
        <v>83</v>
      </c>
      <c r="D18" s="10" t="n">
        <f aca="false">IFERROR(C18/B18,0)</f>
        <v>1</v>
      </c>
      <c r="E18" s="9" t="s">
        <v>318</v>
      </c>
    </row>
    <row r="19" customFormat="false" ht="15" hidden="false" customHeight="false" outlineLevel="0" collapsed="false">
      <c r="A19" s="8" t="s">
        <v>28</v>
      </c>
      <c r="B19" s="8" t="n">
        <v>85</v>
      </c>
      <c r="C19" s="8" t="n">
        <v>85</v>
      </c>
      <c r="D19" s="10" t="n">
        <f aca="false">IFERROR(C19/B19,0)</f>
        <v>1</v>
      </c>
      <c r="E19" s="9" t="s">
        <v>319</v>
      </c>
    </row>
    <row r="20" customFormat="false" ht="15" hidden="false" customHeight="false" outlineLevel="0" collapsed="false">
      <c r="A20" s="8" t="s">
        <v>28</v>
      </c>
      <c r="B20" s="8" t="n">
        <v>87</v>
      </c>
      <c r="C20" s="8" t="n">
        <v>87</v>
      </c>
      <c r="D20" s="10" t="n">
        <f aca="false">IFERROR(C20/B20,0)</f>
        <v>1</v>
      </c>
      <c r="E20" s="9" t="s">
        <v>320</v>
      </c>
    </row>
    <row r="21" customFormat="false" ht="15" hidden="false" customHeight="false" outlineLevel="0" collapsed="false">
      <c r="A21" s="8" t="s">
        <v>28</v>
      </c>
      <c r="B21" s="8" t="n">
        <v>89</v>
      </c>
      <c r="C21" s="8" t="n">
        <v>89</v>
      </c>
      <c r="D21" s="10" t="n">
        <f aca="false">IFERROR(C21/B21,0)</f>
        <v>1</v>
      </c>
      <c r="E21" s="9" t="s">
        <v>321</v>
      </c>
    </row>
    <row r="22" customFormat="false" ht="15" hidden="false" customHeight="false" outlineLevel="0" collapsed="false">
      <c r="A22" s="8" t="s">
        <v>28</v>
      </c>
      <c r="B22" s="8" t="n">
        <v>91</v>
      </c>
      <c r="C22" s="8" t="n">
        <v>91</v>
      </c>
      <c r="D22" s="10" t="n">
        <f aca="false">IFERROR(C22/B22,0)</f>
        <v>1</v>
      </c>
      <c r="E22" s="9" t="s">
        <v>322</v>
      </c>
    </row>
    <row r="23" customFormat="false" ht="15" hidden="false" customHeight="false" outlineLevel="0" collapsed="false">
      <c r="A23" s="8" t="s">
        <v>28</v>
      </c>
      <c r="B23" s="8" t="n">
        <v>92</v>
      </c>
      <c r="C23" s="8" t="n">
        <v>92</v>
      </c>
      <c r="D23" s="10" t="n">
        <f aca="false">IFERROR(C23/B23,0)</f>
        <v>1</v>
      </c>
      <c r="E23" s="9" t="s">
        <v>323</v>
      </c>
    </row>
    <row r="24" customFormat="false" ht="15" hidden="false" customHeight="false" outlineLevel="0" collapsed="false">
      <c r="A24" s="8" t="s">
        <v>28</v>
      </c>
      <c r="B24" s="8" t="n">
        <v>94</v>
      </c>
      <c r="C24" s="8" t="n">
        <v>94</v>
      </c>
      <c r="D24" s="10" t="n">
        <f aca="false">IFERROR(C24/B24,0)</f>
        <v>1</v>
      </c>
      <c r="E24" s="9" t="s">
        <v>324</v>
      </c>
    </row>
    <row r="25" customFormat="false" ht="15" hidden="false" customHeight="false" outlineLevel="0" collapsed="false">
      <c r="A25" s="8" t="s">
        <v>28</v>
      </c>
      <c r="B25" s="8" t="n">
        <v>96</v>
      </c>
      <c r="C25" s="8" t="n">
        <v>96</v>
      </c>
      <c r="D25" s="10" t="n">
        <f aca="false">IFERROR(C25/B25,0)</f>
        <v>1</v>
      </c>
      <c r="E25" s="9" t="s">
        <v>325</v>
      </c>
    </row>
    <row r="26" customFormat="false" ht="15" hidden="false" customHeight="false" outlineLevel="0" collapsed="false">
      <c r="A26" s="8" t="s">
        <v>28</v>
      </c>
      <c r="B26" s="8" t="n">
        <v>98</v>
      </c>
      <c r="C26" s="8" t="n">
        <v>98</v>
      </c>
      <c r="D26" s="10" t="n">
        <f aca="false">IFERROR(C26/B26,0)</f>
        <v>1</v>
      </c>
      <c r="E26" s="8" t="s">
        <v>326</v>
      </c>
    </row>
    <row r="27" customFormat="false" ht="15" hidden="false" customHeight="false" outlineLevel="0" collapsed="false">
      <c r="A27" s="8" t="s">
        <v>28</v>
      </c>
      <c r="B27" s="8" t="n">
        <v>99</v>
      </c>
      <c r="C27" s="8" t="n">
        <v>99</v>
      </c>
      <c r="D27" s="10" t="n">
        <f aca="false">IFERROR(C27/B27,0)</f>
        <v>1</v>
      </c>
      <c r="E27" s="8" t="s">
        <v>327</v>
      </c>
    </row>
    <row r="28" customFormat="false" ht="15" hidden="false" customHeight="false" outlineLevel="0" collapsed="false">
      <c r="A28" s="8" t="s">
        <v>28</v>
      </c>
      <c r="B28" s="8" t="n">
        <v>101</v>
      </c>
      <c r="C28" s="8" t="n">
        <v>101</v>
      </c>
      <c r="D28" s="10" t="n">
        <f aca="false">IFERROR(C28/B28,0)</f>
        <v>1</v>
      </c>
      <c r="E28" s="9" t="s">
        <v>328</v>
      </c>
    </row>
    <row r="29" customFormat="false" ht="15" hidden="false" customHeight="false" outlineLevel="0" collapsed="false">
      <c r="A29" s="8" t="s">
        <v>28</v>
      </c>
      <c r="B29" s="8" t="n">
        <v>103</v>
      </c>
      <c r="C29" s="8" t="n">
        <v>103</v>
      </c>
      <c r="D29" s="10" t="n">
        <f aca="false">IFERROR(C29/B29,0)</f>
        <v>1</v>
      </c>
      <c r="E29" s="9" t="s">
        <v>329</v>
      </c>
    </row>
    <row r="30" customFormat="false" ht="15" hidden="false" customHeight="false" outlineLevel="0" collapsed="false">
      <c r="A30" s="8" t="s">
        <v>28</v>
      </c>
      <c r="B30" s="8" t="n">
        <v>105</v>
      </c>
      <c r="C30" s="8" t="n">
        <v>105</v>
      </c>
      <c r="D30" s="10" t="n">
        <f aca="false">IFERROR(C30/B30,0)</f>
        <v>1</v>
      </c>
      <c r="E30" s="9" t="s">
        <v>330</v>
      </c>
    </row>
    <row r="31" customFormat="false" ht="15" hidden="false" customHeight="false" outlineLevel="0" collapsed="false">
      <c r="A31" s="8" t="s">
        <v>28</v>
      </c>
      <c r="B31" s="8" t="n">
        <v>106</v>
      </c>
      <c r="C31" s="8" t="n">
        <v>106</v>
      </c>
      <c r="D31" s="10" t="n">
        <f aca="false">IFERROR(C31/B31,0)</f>
        <v>1</v>
      </c>
      <c r="E31" s="9" t="s">
        <v>331</v>
      </c>
    </row>
    <row r="32" customFormat="false" ht="15" hidden="false" customHeight="false" outlineLevel="0" collapsed="false">
      <c r="A32" s="8" t="s">
        <v>28</v>
      </c>
      <c r="B32" s="8" t="n">
        <v>106</v>
      </c>
      <c r="C32" s="8" t="n">
        <v>106</v>
      </c>
      <c r="D32" s="10" t="n">
        <f aca="false">IFERROR(C32/B32,0)</f>
        <v>1</v>
      </c>
      <c r="E32" s="9" t="s">
        <v>332</v>
      </c>
    </row>
    <row r="33" customFormat="false" ht="15" hidden="false" customHeight="false" outlineLevel="0" collapsed="false">
      <c r="A33" s="8" t="s">
        <v>28</v>
      </c>
      <c r="B33" s="8" t="n">
        <v>107</v>
      </c>
      <c r="C33" s="8" t="n">
        <v>107</v>
      </c>
      <c r="D33" s="10" t="n">
        <f aca="false">IFERROR(C33/B33,0)</f>
        <v>1</v>
      </c>
      <c r="E33" s="9" t="s">
        <v>333</v>
      </c>
    </row>
    <row r="34" customFormat="false" ht="15" hidden="false" customHeight="false" outlineLevel="0" collapsed="false">
      <c r="A34" s="8" t="s">
        <v>28</v>
      </c>
      <c r="B34" s="8" t="n">
        <v>108</v>
      </c>
      <c r="C34" s="8" t="n">
        <v>108</v>
      </c>
      <c r="D34" s="10" t="n">
        <f aca="false">IFERROR(C34/B34,0)</f>
        <v>1</v>
      </c>
      <c r="E34" s="9" t="s">
        <v>334</v>
      </c>
    </row>
    <row r="35" customFormat="false" ht="15" hidden="false" customHeight="false" outlineLevel="0" collapsed="false">
      <c r="A35" s="8" t="s">
        <v>28</v>
      </c>
      <c r="B35" s="8" t="n">
        <v>108</v>
      </c>
      <c r="C35" s="8" t="n">
        <v>108</v>
      </c>
      <c r="D35" s="10" t="n">
        <f aca="false">IFERROR(C35/B35,0)</f>
        <v>1</v>
      </c>
      <c r="E35" s="9" t="s">
        <v>335</v>
      </c>
    </row>
    <row r="36" customFormat="false" ht="15" hidden="false" customHeight="false" outlineLevel="0" collapsed="false">
      <c r="A36" s="8" t="s">
        <v>28</v>
      </c>
      <c r="B36" s="8" t="n">
        <v>109</v>
      </c>
      <c r="C36" s="8" t="n">
        <v>109</v>
      </c>
      <c r="D36" s="10" t="n">
        <f aca="false">IFERROR(C36/B36,0)</f>
        <v>1</v>
      </c>
      <c r="E36" s="9" t="s">
        <v>336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2026-10-28T15:22:36Z</dcterms:created>
  <dc:creator>openpyxl</dc:creator>
  <dc:description/>
  <dc:language>en-US</dc:language>
  <cp:lastModifiedBy/>
  <dcterms:modified xsi:type="dcterms:W3CDTF">2026-10-28T15:22:36Z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