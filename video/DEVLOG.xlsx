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<sst xmlns="http://schemas.openxmlformats.org/spreadsheetml/2006/main" count="394" uniqueCount="215">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</sst>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37" headerRowCount="1" totalsRowCount="0" totalsRowShown="0">
  <autoFilter ref="A1:F37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26" headerRowCount="1" totalsRowCount="0" totalsRowShown="0">
  <autoFilter ref="A1:F26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8" headerRowCount="1" totalsRowCount="0" totalsRowShown="0">
  <autoFilter ref="A1:E18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COUNTA(로드맵!B2:B26)</f>
        <v>25</v>
      </c>
    </row>
    <row r="4" customFormat="false" ht="15" hidden="false" customHeight="false" outlineLevel="0" collapsed="false">
      <c r="A4" s="3" t="s">
        <v>2</v>
      </c>
      <c r="B4" s="2" t="n">
        <f aca="false">COUNTIF(로드맵!E2:E26,"완료")</f>
        <v>18</v>
      </c>
    </row>
    <row r="5" customFormat="false" ht="15" hidden="false" customHeight="false" outlineLevel="0" collapsed="false">
      <c r="A5" s="3" t="s">
        <v>3</v>
      </c>
      <c r="B5" s="2" t="n">
        <f aca="false">COUNTIF(로드맵!E2:E26,"진행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COUNTIF(로드맵!E2:E26,"대기")</f>
        <v>7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0.72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기록'!C2:C37)</f>
        <v>36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기록'!B2:B37,"사용자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INDEX(테스트!B2:B18,17)</f>
        <v>83</v>
      </c>
    </row>
    <row r="12" customFormat="false" ht="15" hidden="false" customHeight="false" outlineLevel="0" collapsed="false">
      <c r="A12" s="3" t="s">
        <v>9</v>
      </c>
      <c r="B12" s="2" t="n">
        <f aca="false">INDEX(테스트!C2:C18,17)</f>
        <v>83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4</v>
      </c>
      <c r="F22" s="8"/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4</v>
      </c>
      <c r="F23" s="8"/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4</v>
      </c>
      <c r="F24" s="8"/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4</v>
      </c>
      <c r="F25" s="8"/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4</v>
      </c>
      <c r="F26" s="8"/>
    </row>
  </sheetData>
  <conditionalFormatting sqref="E2:E26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20</v>
      </c>
      <c r="D1" s="7" t="s">
        <v>82</v>
      </c>
      <c r="E1" s="7" t="s">
        <v>83</v>
      </c>
      <c r="F1" s="7" t="s">
        <v>84</v>
      </c>
    </row>
    <row r="2" customFormat="false" ht="15" hidden="false" customHeight="false" outlineLevel="0" collapsed="false">
      <c r="A2" s="8" t="s">
        <v>85</v>
      </c>
      <c r="B2" s="9" t="s">
        <v>86</v>
      </c>
      <c r="C2" s="9" t="s">
        <v>87</v>
      </c>
      <c r="D2" s="9" t="s">
        <v>88</v>
      </c>
      <c r="E2" s="9" t="s">
        <v>2</v>
      </c>
      <c r="F2" s="8" t="s">
        <v>89</v>
      </c>
    </row>
    <row r="3" customFormat="false" ht="29.85" hidden="false" customHeight="false" outlineLevel="0" collapsed="false">
      <c r="A3" s="8" t="s">
        <v>85</v>
      </c>
      <c r="B3" s="9" t="s">
        <v>86</v>
      </c>
      <c r="C3" s="9" t="s">
        <v>90</v>
      </c>
      <c r="D3" s="8" t="s">
        <v>91</v>
      </c>
      <c r="E3" s="9" t="s">
        <v>2</v>
      </c>
      <c r="F3" s="8" t="s">
        <v>92</v>
      </c>
    </row>
    <row r="4" customFormat="false" ht="15" hidden="false" customHeight="false" outlineLevel="0" collapsed="false">
      <c r="A4" s="8" t="s">
        <v>85</v>
      </c>
      <c r="B4" s="9" t="s">
        <v>93</v>
      </c>
      <c r="C4" s="8" t="s">
        <v>94</v>
      </c>
      <c r="D4" s="8" t="s">
        <v>95</v>
      </c>
      <c r="E4" s="9" t="s">
        <v>96</v>
      </c>
      <c r="F4" s="8" t="s">
        <v>92</v>
      </c>
    </row>
    <row r="5" customFormat="false" ht="15" hidden="false" customHeight="false" outlineLevel="0" collapsed="false">
      <c r="A5" s="8" t="s">
        <v>85</v>
      </c>
      <c r="B5" s="9" t="s">
        <v>86</v>
      </c>
      <c r="C5" s="9" t="s">
        <v>97</v>
      </c>
      <c r="D5" s="9" t="s">
        <v>98</v>
      </c>
      <c r="E5" s="9" t="s">
        <v>2</v>
      </c>
      <c r="F5" s="8" t="s">
        <v>99</v>
      </c>
    </row>
    <row r="6" customFormat="false" ht="15" hidden="false" customHeight="false" outlineLevel="0" collapsed="false">
      <c r="A6" s="8" t="s">
        <v>85</v>
      </c>
      <c r="B6" s="9" t="s">
        <v>86</v>
      </c>
      <c r="C6" s="9" t="s">
        <v>100</v>
      </c>
      <c r="D6" s="8" t="s">
        <v>101</v>
      </c>
      <c r="E6" s="9" t="s">
        <v>2</v>
      </c>
      <c r="F6" s="8" t="s">
        <v>102</v>
      </c>
    </row>
    <row r="7" customFormat="false" ht="29.85" hidden="false" customHeight="false" outlineLevel="0" collapsed="false">
      <c r="A7" s="8" t="s">
        <v>85</v>
      </c>
      <c r="B7" s="9" t="s">
        <v>103</v>
      </c>
      <c r="C7" s="9" t="s">
        <v>104</v>
      </c>
      <c r="D7" s="9" t="s">
        <v>105</v>
      </c>
      <c r="E7" s="9" t="s">
        <v>93</v>
      </c>
      <c r="F7" s="8" t="s">
        <v>106</v>
      </c>
    </row>
    <row r="8" customFormat="false" ht="29.85" hidden="false" customHeight="false" outlineLevel="0" collapsed="false">
      <c r="A8" s="8" t="s">
        <v>85</v>
      </c>
      <c r="B8" s="9" t="s">
        <v>103</v>
      </c>
      <c r="C8" s="9" t="s">
        <v>107</v>
      </c>
      <c r="D8" s="9" t="s">
        <v>108</v>
      </c>
      <c r="E8" s="9" t="s">
        <v>93</v>
      </c>
      <c r="F8" s="8" t="s">
        <v>109</v>
      </c>
    </row>
    <row r="9" customFormat="false" ht="29.85" hidden="false" customHeight="false" outlineLevel="0" collapsed="false">
      <c r="A9" s="8" t="s">
        <v>85</v>
      </c>
      <c r="B9" s="9" t="s">
        <v>103</v>
      </c>
      <c r="C9" s="9" t="s">
        <v>110</v>
      </c>
      <c r="D9" s="9" t="s">
        <v>111</v>
      </c>
      <c r="E9" s="9" t="s">
        <v>112</v>
      </c>
      <c r="F9" s="8" t="s">
        <v>113</v>
      </c>
    </row>
    <row r="10" customFormat="false" ht="29.85" hidden="false" customHeight="false" outlineLevel="0" collapsed="false">
      <c r="A10" s="8" t="s">
        <v>28</v>
      </c>
      <c r="B10" s="9" t="s">
        <v>114</v>
      </c>
      <c r="C10" s="9" t="s">
        <v>115</v>
      </c>
      <c r="D10" s="9" t="s">
        <v>116</v>
      </c>
      <c r="E10" s="9" t="s">
        <v>117</v>
      </c>
      <c r="F10" s="8"/>
    </row>
    <row r="11" customFormat="false" ht="29.85" hidden="false" customHeight="false" outlineLevel="0" collapsed="false">
      <c r="A11" s="8" t="s">
        <v>28</v>
      </c>
      <c r="B11" s="9" t="s">
        <v>86</v>
      </c>
      <c r="C11" s="8" t="s">
        <v>118</v>
      </c>
      <c r="D11" s="9" t="s">
        <v>119</v>
      </c>
      <c r="E11" s="9" t="s">
        <v>120</v>
      </c>
      <c r="F11" s="8" t="s">
        <v>121</v>
      </c>
    </row>
    <row r="12" customFormat="false" ht="29.85" hidden="false" customHeight="false" outlineLevel="0" collapsed="false">
      <c r="A12" s="8" t="s">
        <v>28</v>
      </c>
      <c r="B12" s="9" t="s">
        <v>86</v>
      </c>
      <c r="C12" s="8" t="s">
        <v>122</v>
      </c>
      <c r="D12" s="9" t="s">
        <v>123</v>
      </c>
      <c r="E12" s="9" t="s">
        <v>2</v>
      </c>
      <c r="F12" s="8" t="s">
        <v>124</v>
      </c>
    </row>
    <row r="13" customFormat="false" ht="29.85" hidden="false" customHeight="false" outlineLevel="0" collapsed="false">
      <c r="A13" s="8" t="s">
        <v>28</v>
      </c>
      <c r="B13" s="9" t="s">
        <v>93</v>
      </c>
      <c r="C13" s="8" t="s">
        <v>125</v>
      </c>
      <c r="D13" s="9" t="s">
        <v>126</v>
      </c>
      <c r="E13" s="9" t="s">
        <v>2</v>
      </c>
      <c r="F13" s="8" t="s">
        <v>127</v>
      </c>
    </row>
    <row r="14" customFormat="false" ht="29.85" hidden="false" customHeight="false" outlineLevel="0" collapsed="false">
      <c r="A14" s="8" t="s">
        <v>28</v>
      </c>
      <c r="B14" s="9" t="s">
        <v>86</v>
      </c>
      <c r="C14" s="8" t="s">
        <v>128</v>
      </c>
      <c r="D14" s="9" t="s">
        <v>129</v>
      </c>
      <c r="E14" s="9" t="s">
        <v>2</v>
      </c>
      <c r="F14" s="8" t="s">
        <v>127</v>
      </c>
    </row>
    <row r="15" customFormat="false" ht="29.85" hidden="false" customHeight="false" outlineLevel="0" collapsed="false">
      <c r="A15" s="8" t="s">
        <v>28</v>
      </c>
      <c r="B15" s="9" t="s">
        <v>114</v>
      </c>
      <c r="C15" s="8" t="s">
        <v>130</v>
      </c>
      <c r="D15" s="9" t="s">
        <v>131</v>
      </c>
      <c r="E15" s="9" t="s">
        <v>132</v>
      </c>
      <c r="F15" s="8"/>
    </row>
    <row r="16" customFormat="false" ht="29.85" hidden="false" customHeight="false" outlineLevel="0" collapsed="false">
      <c r="A16" s="8" t="s">
        <v>28</v>
      </c>
      <c r="B16" s="9" t="s">
        <v>86</v>
      </c>
      <c r="C16" s="9" t="s">
        <v>133</v>
      </c>
      <c r="D16" s="8" t="s">
        <v>134</v>
      </c>
      <c r="E16" s="9" t="s">
        <v>2</v>
      </c>
      <c r="F16" s="8" t="s">
        <v>127</v>
      </c>
    </row>
    <row r="17" customFormat="false" ht="29.85" hidden="false" customHeight="false" outlineLevel="0" collapsed="false">
      <c r="A17" s="8" t="s">
        <v>28</v>
      </c>
      <c r="B17" s="9" t="s">
        <v>86</v>
      </c>
      <c r="C17" s="8" t="s">
        <v>135</v>
      </c>
      <c r="D17" s="9" t="s">
        <v>136</v>
      </c>
      <c r="E17" s="9" t="s">
        <v>2</v>
      </c>
      <c r="F17" s="8" t="s">
        <v>137</v>
      </c>
    </row>
    <row r="18" customFormat="false" ht="29.85" hidden="false" customHeight="false" outlineLevel="0" collapsed="false">
      <c r="A18" s="8" t="s">
        <v>28</v>
      </c>
      <c r="B18" s="9" t="s">
        <v>86</v>
      </c>
      <c r="C18" s="8" t="s">
        <v>138</v>
      </c>
      <c r="D18" s="9" t="s">
        <v>139</v>
      </c>
      <c r="E18" s="9" t="s">
        <v>2</v>
      </c>
      <c r="F18" s="8" t="s">
        <v>140</v>
      </c>
    </row>
    <row r="19" customFormat="false" ht="29.85" hidden="false" customHeight="false" outlineLevel="0" collapsed="false">
      <c r="A19" s="8" t="s">
        <v>28</v>
      </c>
      <c r="B19" s="9" t="s">
        <v>86</v>
      </c>
      <c r="C19" s="8" t="s">
        <v>141</v>
      </c>
      <c r="D19" s="9" t="s">
        <v>142</v>
      </c>
      <c r="E19" s="9" t="s">
        <v>2</v>
      </c>
      <c r="F19" s="8" t="s">
        <v>143</v>
      </c>
    </row>
    <row r="20" customFormat="false" ht="29.85" hidden="false" customHeight="false" outlineLevel="0" collapsed="false">
      <c r="A20" s="8" t="s">
        <v>28</v>
      </c>
      <c r="B20" s="9" t="s">
        <v>86</v>
      </c>
      <c r="C20" s="8" t="s">
        <v>144</v>
      </c>
      <c r="D20" s="9" t="s">
        <v>145</v>
      </c>
      <c r="E20" s="9" t="s">
        <v>2</v>
      </c>
      <c r="F20" s="8" t="s">
        <v>146</v>
      </c>
    </row>
    <row r="21" customFormat="false" ht="29.85" hidden="false" customHeight="false" outlineLevel="0" collapsed="false">
      <c r="A21" s="8" t="s">
        <v>28</v>
      </c>
      <c r="B21" s="9" t="s">
        <v>86</v>
      </c>
      <c r="C21" s="8" t="s">
        <v>147</v>
      </c>
      <c r="D21" s="9" t="s">
        <v>148</v>
      </c>
      <c r="E21" s="9" t="s">
        <v>2</v>
      </c>
      <c r="F21" s="8" t="s">
        <v>149</v>
      </c>
    </row>
    <row r="22" customFormat="false" ht="58.2" hidden="false" customHeight="false" outlineLevel="0" collapsed="false">
      <c r="A22" s="8" t="s">
        <v>28</v>
      </c>
      <c r="B22" s="9" t="s">
        <v>150</v>
      </c>
      <c r="C22" s="9" t="s">
        <v>151</v>
      </c>
      <c r="D22" s="9" t="s">
        <v>152</v>
      </c>
      <c r="E22" s="9" t="s">
        <v>93</v>
      </c>
      <c r="F22" s="8" t="s">
        <v>149</v>
      </c>
    </row>
    <row r="23" customFormat="false" ht="44" hidden="false" customHeight="false" outlineLevel="0" collapsed="false">
      <c r="A23" s="8" t="s">
        <v>28</v>
      </c>
      <c r="B23" s="9" t="s">
        <v>86</v>
      </c>
      <c r="C23" s="8" t="s">
        <v>153</v>
      </c>
      <c r="D23" s="8" t="s">
        <v>154</v>
      </c>
      <c r="E23" s="9" t="s">
        <v>2</v>
      </c>
      <c r="F23" s="8" t="s">
        <v>155</v>
      </c>
    </row>
    <row r="24" customFormat="false" ht="29.85" hidden="false" customHeight="false" outlineLevel="0" collapsed="false">
      <c r="A24" s="8" t="s">
        <v>28</v>
      </c>
      <c r="B24" s="9" t="s">
        <v>156</v>
      </c>
      <c r="C24" s="8" t="s">
        <v>157</v>
      </c>
      <c r="D24" s="9" t="s">
        <v>158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86</v>
      </c>
      <c r="C25" s="8" t="s">
        <v>159</v>
      </c>
      <c r="D25" s="9" t="s">
        <v>160</v>
      </c>
      <c r="E25" s="9" t="s">
        <v>2</v>
      </c>
      <c r="F25" s="8" t="s">
        <v>161</v>
      </c>
    </row>
    <row r="26" customFormat="false" ht="44" hidden="false" customHeight="false" outlineLevel="0" collapsed="false">
      <c r="A26" s="8" t="s">
        <v>28</v>
      </c>
      <c r="B26" s="9" t="s">
        <v>86</v>
      </c>
      <c r="C26" s="8" t="s">
        <v>162</v>
      </c>
      <c r="D26" s="9" t="s">
        <v>163</v>
      </c>
      <c r="E26" s="9" t="s">
        <v>2</v>
      </c>
      <c r="F26" s="8" t="s">
        <v>164</v>
      </c>
    </row>
    <row r="27" customFormat="false" ht="29.85" hidden="false" customHeight="false" outlineLevel="0" collapsed="false">
      <c r="A27" s="8" t="s">
        <v>28</v>
      </c>
      <c r="B27" s="9" t="s">
        <v>86</v>
      </c>
      <c r="C27" s="8" t="s">
        <v>165</v>
      </c>
      <c r="D27" s="9" t="s">
        <v>166</v>
      </c>
      <c r="E27" s="9" t="s">
        <v>2</v>
      </c>
      <c r="F27" s="8" t="s">
        <v>167</v>
      </c>
    </row>
    <row r="28" customFormat="false" ht="58.2" hidden="false" customHeight="false" outlineLevel="0" collapsed="false">
      <c r="A28" s="8" t="s">
        <v>28</v>
      </c>
      <c r="B28" s="9" t="s">
        <v>86</v>
      </c>
      <c r="C28" s="8" t="s">
        <v>168</v>
      </c>
      <c r="D28" s="9" t="s">
        <v>169</v>
      </c>
      <c r="E28" s="9" t="s">
        <v>170</v>
      </c>
      <c r="F28" s="8" t="s">
        <v>171</v>
      </c>
    </row>
    <row r="29" customFormat="false" ht="44" hidden="false" customHeight="false" outlineLevel="0" collapsed="false">
      <c r="A29" s="8" t="s">
        <v>28</v>
      </c>
      <c r="B29" s="9" t="s">
        <v>86</v>
      </c>
      <c r="C29" s="8" t="s">
        <v>172</v>
      </c>
      <c r="D29" s="9" t="s">
        <v>173</v>
      </c>
      <c r="E29" s="9" t="s">
        <v>2</v>
      </c>
      <c r="F29" s="8" t="s">
        <v>174</v>
      </c>
    </row>
    <row r="30" customFormat="false" ht="29.85" hidden="false" customHeight="false" outlineLevel="0" collapsed="false">
      <c r="A30" s="8" t="s">
        <v>28</v>
      </c>
      <c r="B30" s="9" t="s">
        <v>156</v>
      </c>
      <c r="C30" s="8" t="s">
        <v>175</v>
      </c>
      <c r="D30" s="9" t="s">
        <v>176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86</v>
      </c>
      <c r="C31" s="8" t="s">
        <v>177</v>
      </c>
      <c r="D31" s="9" t="s">
        <v>178</v>
      </c>
      <c r="E31" s="9" t="s">
        <v>2</v>
      </c>
      <c r="F31" s="8" t="s">
        <v>179</v>
      </c>
    </row>
    <row r="32" customFormat="false" ht="58.2" hidden="false" customHeight="false" outlineLevel="0" collapsed="false">
      <c r="A32" s="8" t="s">
        <v>28</v>
      </c>
      <c r="B32" s="9" t="s">
        <v>86</v>
      </c>
      <c r="C32" s="8" t="s">
        <v>180</v>
      </c>
      <c r="D32" s="9" t="s">
        <v>181</v>
      </c>
      <c r="E32" s="9" t="s">
        <v>2</v>
      </c>
      <c r="F32" s="8" t="s">
        <v>182</v>
      </c>
    </row>
    <row r="33" customFormat="false" ht="44" hidden="false" customHeight="false" outlineLevel="0" collapsed="false">
      <c r="A33" s="8" t="s">
        <v>28</v>
      </c>
      <c r="B33" s="9" t="s">
        <v>150</v>
      </c>
      <c r="C33" s="8" t="s">
        <v>183</v>
      </c>
      <c r="D33" s="9" t="s">
        <v>184</v>
      </c>
      <c r="E33" s="9" t="s">
        <v>93</v>
      </c>
      <c r="F33" s="8" t="s">
        <v>182</v>
      </c>
    </row>
    <row r="34" customFormat="false" ht="29.85" hidden="false" customHeight="false" outlineLevel="0" collapsed="false">
      <c r="A34" s="8" t="s">
        <v>28</v>
      </c>
      <c r="B34" s="9" t="s">
        <v>156</v>
      </c>
      <c r="C34" s="8" t="s">
        <v>185</v>
      </c>
      <c r="D34" s="8" t="s">
        <v>186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86</v>
      </c>
      <c r="C35" s="8" t="s">
        <v>187</v>
      </c>
      <c r="D35" s="8" t="s">
        <v>188</v>
      </c>
      <c r="E35" s="9" t="s">
        <v>2</v>
      </c>
      <c r="F35" s="8" t="s">
        <v>189</v>
      </c>
    </row>
    <row r="36" customFormat="false" ht="29.85" hidden="false" customHeight="false" outlineLevel="0" collapsed="false">
      <c r="A36" s="8" t="s">
        <v>28</v>
      </c>
      <c r="B36" s="9" t="s">
        <v>103</v>
      </c>
      <c r="C36" s="9" t="s">
        <v>190</v>
      </c>
      <c r="D36" s="8" t="s">
        <v>191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86</v>
      </c>
      <c r="C37" s="9" t="s">
        <v>192</v>
      </c>
      <c r="D37" s="9" t="s">
        <v>193</v>
      </c>
      <c r="E37" s="9" t="s">
        <v>194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80</v>
      </c>
      <c r="B1" s="7" t="s">
        <v>195</v>
      </c>
      <c r="C1" s="7" t="s">
        <v>132</v>
      </c>
      <c r="D1" s="7" t="s">
        <v>196</v>
      </c>
      <c r="E1" s="7" t="s">
        <v>197</v>
      </c>
    </row>
    <row r="2" customFormat="false" ht="15" hidden="false" customHeight="false" outlineLevel="0" collapsed="false">
      <c r="A2" s="8" t="s">
        <v>85</v>
      </c>
      <c r="B2" s="8" t="n">
        <v>50</v>
      </c>
      <c r="C2" s="8" t="n">
        <v>50</v>
      </c>
      <c r="D2" s="10" t="n">
        <f aca="false">IFERROR(C2/B2,0)</f>
        <v>1</v>
      </c>
      <c r="E2" s="9" t="s">
        <v>198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199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200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201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202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203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204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205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206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207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208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209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210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211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212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213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2026-10-28T03:14:42Z</dcterms:created>
  <dc:creator>openpyxl</dc:creator>
  <dc:description/>
  <dc:language>en-US</dc:language>
  <cp:lastModifiedBy/>
  <dcterms:modified xsi:type="dcterms:W3CDTF">2026-10-28T03:14:42Z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